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LineItems" sheetId="2" r:id="rId5"/>
    <sheet state="visible" name="Totals" sheetId="3" r:id="rId6"/>
  </sheets>
  <definedNames/>
  <calcPr/>
</workbook>
</file>

<file path=xl/sharedStrings.xml><?xml version="1.0" encoding="utf-8"?>
<sst xmlns="http://schemas.openxmlformats.org/spreadsheetml/2006/main" count="34" uniqueCount="34">
  <si>
    <t>quote_number</t>
  </si>
  <si>
    <t>2025-2381</t>
  </si>
  <si>
    <t>issued_date</t>
  </si>
  <si>
    <t>client_name</t>
  </si>
  <si>
    <t>James Huddon</t>
  </si>
  <si>
    <t>client_email</t>
  </si>
  <si>
    <t>relahunter@gmail.com</t>
  </si>
  <si>
    <t>client_phone</t>
  </si>
  <si>
    <t>client_address</t>
  </si>
  <si>
    <t>event_name</t>
  </si>
  <si>
    <t>Sound System Hire @ 123 Test Venue, Wellington (2026-01-06)</t>
  </si>
  <si>
    <t>event_date</t>
  </si>
  <si>
    <t>event_location</t>
  </si>
  <si>
    <t>123 Test Venue, Wellington</t>
  </si>
  <si>
    <t>Gear Name</t>
  </si>
  <si>
    <t>Qty</t>
  </si>
  <si>
    <t>Days</t>
  </si>
  <si>
    <t>Unit Rate</t>
  </si>
  <si>
    <t>Day2+ Rate</t>
  </si>
  <si>
    <t>Line Total</t>
  </si>
  <si>
    <t>EV EKX12</t>
  </si>
  <si>
    <t>EV ZLX 8P G2</t>
  </si>
  <si>
    <t>EV EKX18 Sub</t>
  </si>
  <si>
    <t>EV ELX200</t>
  </si>
  <si>
    <t>X32 Compact Console</t>
  </si>
  <si>
    <t>S16</t>
  </si>
  <si>
    <t>Shure SM58</t>
  </si>
  <si>
    <t>Shure SM57</t>
  </si>
  <si>
    <t>Sennheiser E906</t>
  </si>
  <si>
    <t>Shure Beta52A</t>
  </si>
  <si>
    <t>subtotal</t>
  </si>
  <si>
    <t>gst</t>
  </si>
  <si>
    <t>total</t>
  </si>
  <si>
    <t>item_count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</si>
</sst>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>
        <v>46021.0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>
        <v>123467.0</v>
      </c>
    </row>
    <row r="6">
      <c r="A6" s="1" t="s">
        <v>8</v>
      </c>
      <c r="B6" s="2"/>
    </row>
    <row r="7">
      <c r="A7" s="1" t="s">
        <v>9</v>
      </c>
      <c r="B7" s="2" t="s">
        <v>10</v>
      </c>
    </row>
    <row r="8">
      <c r="A8" s="1" t="s">
        <v>11</v>
      </c>
      <c r="B8" s="3">
        <v>46028.0</v>
      </c>
    </row>
    <row r="9">
      <c r="A9" s="1" t="s">
        <v>12</v>
      </c>
      <c r="B9" s="2" t="s">
        <v>13</v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</cols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20</v>
      </c>
      <c r="B2" s="7">
        <v>2.0</v>
      </c>
      <c r="C2" s="7">
        <v>1.0</v>
      </c>
      <c r="D2" s="8">
        <f>IFERROR(__xludf.DUMMYFUNCTION("IF(A2="""","""",IFERROR(VLOOKUP(A2,IMPORTRANGE(""1BYc7QC6DSiAiVOIk9bGxY-l6QCuLim8Mv3NHeuRJWH4"",""Equipment!B:C""),2,FALSE),0))"),75.0)</f>
        <v>75</v>
      </c>
      <c r="E2" s="8">
        <f t="shared" ref="E2:E51" si="1">IF(D2="","",D2*0.5)</f>
        <v>37.5</v>
      </c>
      <c r="F2" s="8">
        <f t="shared" ref="F2:F51" si="2">IF(OR(A2="",B2="",C2=""),"",IF(C2&gt;1,(D2+(C2-1)*E2)*B2,D2*B2))</f>
        <v>150</v>
      </c>
    </row>
    <row r="3">
      <c r="A3" s="2" t="s">
        <v>21</v>
      </c>
      <c r="B3" s="7">
        <v>2.0</v>
      </c>
      <c r="C3" s="7">
        <v>1.0</v>
      </c>
      <c r="D3" s="8">
        <f>IFERROR(__xludf.DUMMYFUNCTION("IF(A3="""","""",IFERROR(VLOOKUP(A3,IMPORTRANGE(""1BYc7QC6DSiAiVOIk9bGxY-l6QCuLim8Mv3NHeuRJWH4"",""Equipment!B:C""),2,FALSE),0))"),0.0)</f>
        <v>0</v>
      </c>
      <c r="E3" s="8">
        <f t="shared" si="1"/>
        <v>0</v>
      </c>
      <c r="F3" s="8">
        <f t="shared" si="2"/>
        <v>0</v>
      </c>
    </row>
    <row r="4">
      <c r="A4" s="2" t="s">
        <v>22</v>
      </c>
      <c r="B4" s="7">
        <v>2.0</v>
      </c>
      <c r="C4" s="7">
        <v>1.0</v>
      </c>
      <c r="D4" s="8">
        <f>IFERROR(__xludf.DUMMYFUNCTION("IF(A4="""","""",IFERROR(VLOOKUP(A4,IMPORTRANGE(""1BYc7QC6DSiAiVOIk9bGxY-l6QCuLim8Mv3NHeuRJWH4"",""Equipment!B:C""),2,FALSE),0))"),0.0)</f>
        <v>0</v>
      </c>
      <c r="E4" s="8">
        <f t="shared" si="1"/>
        <v>0</v>
      </c>
      <c r="F4" s="8">
        <f t="shared" si="2"/>
        <v>0</v>
      </c>
    </row>
    <row r="5">
      <c r="A5" s="2" t="s">
        <v>23</v>
      </c>
      <c r="B5" s="7">
        <v>4.0</v>
      </c>
      <c r="C5" s="7">
        <v>1.0</v>
      </c>
      <c r="D5" s="8">
        <f>IFERROR(__xludf.DUMMYFUNCTION("IF(A5="""","""",IFERROR(VLOOKUP(A5,IMPORTRANGE(""1BYc7QC6DSiAiVOIk9bGxY-l6QCuLim8Mv3NHeuRJWH4"",""Equipment!B:C""),2,FALSE),0))"),60.0)</f>
        <v>60</v>
      </c>
      <c r="E5" s="8">
        <f t="shared" si="1"/>
        <v>30</v>
      </c>
      <c r="F5" s="8">
        <f t="shared" si="2"/>
        <v>240</v>
      </c>
    </row>
    <row r="6">
      <c r="A6" s="2" t="s">
        <v>24</v>
      </c>
      <c r="B6" s="7">
        <v>1.0</v>
      </c>
      <c r="C6" s="7">
        <v>1.0</v>
      </c>
      <c r="D6" s="8">
        <f>IFERROR(__xludf.DUMMYFUNCTION("IF(A6="""","""",IFERROR(VLOOKUP(A6,IMPORTRANGE(""1BYc7QC6DSiAiVOIk9bGxY-l6QCuLim8Mv3NHeuRJWH4"",""Equipment!B:C""),2,FALSE),0))"),160.0)</f>
        <v>160</v>
      </c>
      <c r="E6" s="8">
        <f t="shared" si="1"/>
        <v>80</v>
      </c>
      <c r="F6" s="8">
        <f t="shared" si="2"/>
        <v>160</v>
      </c>
    </row>
    <row r="7">
      <c r="A7" s="2" t="s">
        <v>25</v>
      </c>
      <c r="B7" s="7">
        <v>1.0</v>
      </c>
      <c r="C7" s="7">
        <v>1.0</v>
      </c>
      <c r="D7" s="8">
        <f>IFERROR(__xludf.DUMMYFUNCTION("IF(A7="""","""",IFERROR(VLOOKUP(A7,IMPORTRANGE(""1BYc7QC6DSiAiVOIk9bGxY-l6QCuLim8Mv3NHeuRJWH4"",""Equipment!B:C""),2,FALSE),0))"),60.0)</f>
        <v>60</v>
      </c>
      <c r="E7" s="8">
        <f t="shared" si="1"/>
        <v>30</v>
      </c>
      <c r="F7" s="8">
        <f t="shared" si="2"/>
        <v>60</v>
      </c>
    </row>
    <row r="8">
      <c r="A8" s="2" t="s">
        <v>26</v>
      </c>
      <c r="B8" s="7">
        <v>4.0</v>
      </c>
      <c r="C8" s="7">
        <v>1.0</v>
      </c>
      <c r="D8" s="8">
        <f>IFERROR(__xludf.DUMMYFUNCTION("IF(A8="""","""",IFERROR(VLOOKUP(A8,IMPORTRANGE(""1BYc7QC6DSiAiVOIk9bGxY-l6QCuLim8Mv3NHeuRJWH4"",""Equipment!B:C""),2,FALSE),0))"),15.0)</f>
        <v>15</v>
      </c>
      <c r="E8" s="8">
        <f t="shared" si="1"/>
        <v>7.5</v>
      </c>
      <c r="F8" s="8">
        <f t="shared" si="2"/>
        <v>60</v>
      </c>
    </row>
    <row r="9">
      <c r="A9" s="2" t="s">
        <v>27</v>
      </c>
      <c r="B9" s="7">
        <v>2.0</v>
      </c>
      <c r="C9" s="7">
        <v>1.0</v>
      </c>
      <c r="D9" s="8">
        <f>IFERROR(__xludf.DUMMYFUNCTION("IF(A9="""","""",IFERROR(VLOOKUP(A9,IMPORTRANGE(""1BYc7QC6DSiAiVOIk9bGxY-l6QCuLim8Mv3NHeuRJWH4"",""Equipment!B:C""),2,FALSE),0))"),15.0)</f>
        <v>15</v>
      </c>
      <c r="E9" s="8">
        <f t="shared" si="1"/>
        <v>7.5</v>
      </c>
      <c r="F9" s="8">
        <f t="shared" si="2"/>
        <v>30</v>
      </c>
    </row>
    <row r="10">
      <c r="A10" s="2" t="s">
        <v>28</v>
      </c>
      <c r="B10" s="7">
        <v>1.0</v>
      </c>
      <c r="C10" s="7">
        <v>1.0</v>
      </c>
      <c r="D10" s="8">
        <f>IFERROR(__xludf.DUMMYFUNCTION("IF(A10="""","""",IFERROR(VLOOKUP(A10,IMPORTRANGE(""1BYc7QC6DSiAiVOIk9bGxY-l6QCuLim8Mv3NHeuRJWH4"",""Equipment!B:C""),2,FALSE),0))"),30.0)</f>
        <v>30</v>
      </c>
      <c r="E10" s="8">
        <f t="shared" si="1"/>
        <v>15</v>
      </c>
      <c r="F10" s="8">
        <f t="shared" si="2"/>
        <v>30</v>
      </c>
    </row>
    <row r="11">
      <c r="A11" s="2" t="s">
        <v>29</v>
      </c>
      <c r="B11" s="7">
        <v>1.0</v>
      </c>
      <c r="C11" s="7">
        <v>1.0</v>
      </c>
      <c r="D11" s="8">
        <f>IFERROR(__xludf.DUMMYFUNCTION("IF(A11="""","""",IFERROR(VLOOKUP(A11,IMPORTRANGE(""1BYc7QC6DSiAiVOIk9bGxY-l6QCuLim8Mv3NHeuRJWH4"",""Equipment!B:C""),2,FALSE),0))"),35.0)</f>
        <v>35</v>
      </c>
      <c r="E11" s="8">
        <f t="shared" si="1"/>
        <v>17.5</v>
      </c>
      <c r="F11" s="8">
        <f t="shared" si="2"/>
        <v>35</v>
      </c>
    </row>
    <row r="12">
      <c r="D12" s="8" t="str">
        <f>IFERROR(__xludf.DUMMYFUNCTION("IF(A12="""","""",IFERROR(VLOOKUP(A12,IMPORTRANGE(""1BYc7QC6DSiAiVOIk9bGxY-l6QCuLim8Mv3NHeuRJWH4"",""Equipment!B:C""),2,FALSE),0))"),"")</f>
        <v/>
      </c>
      <c r="E12" s="8" t="str">
        <f t="shared" si="1"/>
        <v/>
      </c>
      <c r="F12" s="8" t="str">
        <f t="shared" si="2"/>
        <v/>
      </c>
    </row>
    <row r="13">
      <c r="D13" s="8" t="str">
        <f>IFERROR(__xludf.DUMMYFUNCTION("IF(A13="""","""",IFERROR(VLOOKUP(A13,IMPORTRANGE(""1BYc7QC6DSiAiVOIk9bGxY-l6QCuLim8Mv3NHeuRJWH4"",""Equipment!B:C""),2,FALSE),0))"),"")</f>
        <v/>
      </c>
      <c r="E13" s="8" t="str">
        <f t="shared" si="1"/>
        <v/>
      </c>
      <c r="F13" s="8" t="str">
        <f t="shared" si="2"/>
        <v/>
      </c>
    </row>
    <row r="14">
      <c r="D14" s="8" t="str">
        <f>IFERROR(__xludf.DUMMYFUNCTION("IF(A14="""","""",IFERROR(VLOOKUP(A14,IMPORTRANGE(""1BYc7QC6DSiAiVOIk9bGxY-l6QCuLim8Mv3NHeuRJWH4"",""Equipment!B:C""),2,FALSE),0))"),"")</f>
        <v/>
      </c>
      <c r="E14" s="8" t="str">
        <f t="shared" si="1"/>
        <v/>
      </c>
      <c r="F14" s="8" t="str">
        <f t="shared" si="2"/>
        <v/>
      </c>
    </row>
    <row r="15">
      <c r="D15" s="8" t="str">
        <f>IFERROR(__xludf.DUMMYFUNCTION("IF(A15="""","""",IFERROR(VLOOKUP(A15,IMPORTRANGE(""1BYc7QC6DSiAiVOIk9bGxY-l6QCuLim8Mv3NHeuRJWH4"",""Equipment!B:C""),2,FALSE),0))"),"")</f>
        <v/>
      </c>
      <c r="E15" s="8" t="str">
        <f t="shared" si="1"/>
        <v/>
      </c>
      <c r="F15" s="8" t="str">
        <f t="shared" si="2"/>
        <v/>
      </c>
    </row>
    <row r="16">
      <c r="D16" s="8" t="str">
        <f>IFERROR(__xludf.DUMMYFUNCTION("IF(A16="""","""",IFERROR(VLOOKUP(A16,IMPORTRANGE(""1BYc7QC6DSiAiVOIk9bGxY-l6QCuLim8Mv3NHeuRJWH4"",""Equipment!B:C""),2,FALSE),0))"),"")</f>
        <v/>
      </c>
      <c r="E16" s="8" t="str">
        <f t="shared" si="1"/>
        <v/>
      </c>
      <c r="F16" s="8" t="str">
        <f t="shared" si="2"/>
        <v/>
      </c>
    </row>
    <row r="17">
      <c r="D17" s="8" t="str">
        <f>IFERROR(__xludf.DUMMYFUNCTION("IF(A17="""","""",IFERROR(VLOOKUP(A17,IMPORTRANGE(""1BYc7QC6DSiAiVOIk9bGxY-l6QCuLim8Mv3NHeuRJWH4"",""Equipment!B:C""),2,FALSE),0))"),"")</f>
        <v/>
      </c>
      <c r="E17" s="8" t="str">
        <f t="shared" si="1"/>
        <v/>
      </c>
      <c r="F17" s="8" t="str">
        <f t="shared" si="2"/>
        <v/>
      </c>
    </row>
    <row r="18">
      <c r="D18" s="8" t="str">
        <f>IFERROR(__xludf.DUMMYFUNCTION("IF(A18="""","""",IFERROR(VLOOKUP(A18,IMPORTRANGE(""1BYc7QC6DSiAiVOIk9bGxY-l6QCuLim8Mv3NHeuRJWH4"",""Equipment!B:C""),2,FALSE),0))"),"")</f>
        <v/>
      </c>
      <c r="E18" s="8" t="str">
        <f t="shared" si="1"/>
        <v/>
      </c>
      <c r="F18" s="8" t="str">
        <f t="shared" si="2"/>
        <v/>
      </c>
    </row>
    <row r="19">
      <c r="D19" s="8" t="str">
        <f>IFERROR(__xludf.DUMMYFUNCTION("IF(A19="""","""",IFERROR(VLOOKUP(A19,IMPORTRANGE(""1BYc7QC6DSiAiVOIk9bGxY-l6QCuLim8Mv3NHeuRJWH4"",""Equipment!B:C""),2,FALSE),0))"),"")</f>
        <v/>
      </c>
      <c r="E19" s="8" t="str">
        <f t="shared" si="1"/>
        <v/>
      </c>
      <c r="F19" s="8" t="str">
        <f t="shared" si="2"/>
        <v/>
      </c>
    </row>
    <row r="20">
      <c r="D20" s="8" t="str">
        <f>IFERROR(__xludf.DUMMYFUNCTION("IF(A20="""","""",IFERROR(VLOOKUP(A20,IMPORTRANGE(""1BYc7QC6DSiAiVOIk9bGxY-l6QCuLim8Mv3NHeuRJWH4"",""Equipment!B:C""),2,FALSE),0))"),"")</f>
        <v/>
      </c>
      <c r="E20" s="8" t="str">
        <f t="shared" si="1"/>
        <v/>
      </c>
      <c r="F20" s="8" t="str">
        <f t="shared" si="2"/>
        <v/>
      </c>
    </row>
    <row r="21">
      <c r="D21" s="8" t="str">
        <f>IFERROR(__xludf.DUMMYFUNCTION("IF(A21="""","""",IFERROR(VLOOKUP(A21,IMPORTRANGE(""1BYc7QC6DSiAiVOIk9bGxY-l6QCuLim8Mv3NHeuRJWH4"",""Equipment!B:C""),2,FALSE),0))"),"")</f>
        <v/>
      </c>
      <c r="E21" s="8" t="str">
        <f t="shared" si="1"/>
        <v/>
      </c>
      <c r="F21" s="8" t="str">
        <f t="shared" si="2"/>
        <v/>
      </c>
    </row>
    <row r="22">
      <c r="D22" s="8" t="str">
        <f>IFERROR(__xludf.DUMMYFUNCTION("IF(A22="""","""",IFERROR(VLOOKUP(A22,IMPORTRANGE(""1BYc7QC6DSiAiVOIk9bGxY-l6QCuLim8Mv3NHeuRJWH4"",""Equipment!B:C""),2,FALSE),0))"),"")</f>
        <v/>
      </c>
      <c r="E22" s="8" t="str">
        <f t="shared" si="1"/>
        <v/>
      </c>
      <c r="F22" s="8" t="str">
        <f t="shared" si="2"/>
        <v/>
      </c>
    </row>
    <row r="23">
      <c r="D23" s="8" t="str">
        <f>IFERROR(__xludf.DUMMYFUNCTION("IF(A23="""","""",IFERROR(VLOOKUP(A23,IMPORTRANGE(""1BYc7QC6DSiAiVOIk9bGxY-l6QCuLim8Mv3NHeuRJWH4"",""Equipment!B:C""),2,FALSE),0))"),"")</f>
        <v/>
      </c>
      <c r="E23" s="8" t="str">
        <f t="shared" si="1"/>
        <v/>
      </c>
      <c r="F23" s="8" t="str">
        <f t="shared" si="2"/>
        <v/>
      </c>
    </row>
    <row r="24">
      <c r="D24" s="8" t="str">
        <f>IFERROR(__xludf.DUMMYFUNCTION("IF(A24="""","""",IFERROR(VLOOKUP(A24,IMPORTRANGE(""1BYc7QC6DSiAiVOIk9bGxY-l6QCuLim8Mv3NHeuRJWH4"",""Equipment!B:C""),2,FALSE),0))"),"")</f>
        <v/>
      </c>
      <c r="E24" s="8" t="str">
        <f t="shared" si="1"/>
        <v/>
      </c>
      <c r="F24" s="8" t="str">
        <f t="shared" si="2"/>
        <v/>
      </c>
    </row>
    <row r="25">
      <c r="D25" s="8" t="str">
        <f>IFERROR(__xludf.DUMMYFUNCTION("IF(A25="""","""",IFERROR(VLOOKUP(A25,IMPORTRANGE(""1BYc7QC6DSiAiVOIk9bGxY-l6QCuLim8Mv3NHeuRJWH4"",""Equipment!B:C""),2,FALSE),0))"),"")</f>
        <v/>
      </c>
      <c r="E25" s="8" t="str">
        <f t="shared" si="1"/>
        <v/>
      </c>
      <c r="F25" s="8" t="str">
        <f t="shared" si="2"/>
        <v/>
      </c>
    </row>
    <row r="26">
      <c r="D26" s="8" t="str">
        <f>IFERROR(__xludf.DUMMYFUNCTION("IF(A26="""","""",IFERROR(VLOOKUP(A26,IMPORTRANGE(""1BYc7QC6DSiAiVOIk9bGxY-l6QCuLim8Mv3NHeuRJWH4"",""Equipment!B:C""),2,FALSE),0))"),"")</f>
        <v/>
      </c>
      <c r="E26" s="8" t="str">
        <f t="shared" si="1"/>
        <v/>
      </c>
      <c r="F26" s="8" t="str">
        <f t="shared" si="2"/>
        <v/>
      </c>
    </row>
    <row r="27">
      <c r="D27" s="8" t="str">
        <f>IFERROR(__xludf.DUMMYFUNCTION("IF(A27="""","""",IFERROR(VLOOKUP(A27,IMPORTRANGE(""1BYc7QC6DSiAiVOIk9bGxY-l6QCuLim8Mv3NHeuRJWH4"",""Equipment!B:C""),2,FALSE),0))"),"")</f>
        <v/>
      </c>
      <c r="E27" s="8" t="str">
        <f t="shared" si="1"/>
        <v/>
      </c>
      <c r="F27" s="8" t="str">
        <f t="shared" si="2"/>
        <v/>
      </c>
    </row>
    <row r="28">
      <c r="D28" s="8" t="str">
        <f>IFERROR(__xludf.DUMMYFUNCTION("IF(A28="""","""",IFERROR(VLOOKUP(A28,IMPORTRANGE(""1BYc7QC6DSiAiVOIk9bGxY-l6QCuLim8Mv3NHeuRJWH4"",""Equipment!B:C""),2,FALSE),0))"),"")</f>
        <v/>
      </c>
      <c r="E28" s="8" t="str">
        <f t="shared" si="1"/>
        <v/>
      </c>
      <c r="F28" s="8" t="str">
        <f t="shared" si="2"/>
        <v/>
      </c>
    </row>
    <row r="29">
      <c r="D29" s="8" t="str">
        <f>IFERROR(__xludf.DUMMYFUNCTION("IF(A29="""","""",IFERROR(VLOOKUP(A29,IMPORTRANGE(""1BYc7QC6DSiAiVOIk9bGxY-l6QCuLim8Mv3NHeuRJWH4"",""Equipment!B:C""),2,FALSE),0))"),"")</f>
        <v/>
      </c>
      <c r="E29" s="8" t="str">
        <f t="shared" si="1"/>
        <v/>
      </c>
      <c r="F29" s="8" t="str">
        <f t="shared" si="2"/>
        <v/>
      </c>
    </row>
    <row r="30">
      <c r="D30" s="8" t="str">
        <f>IFERROR(__xludf.DUMMYFUNCTION("IF(A30="""","""",IFERROR(VLOOKUP(A30,IMPORTRANGE(""1BYc7QC6DSiAiVOIk9bGxY-l6QCuLim8Mv3NHeuRJWH4"",""Equipment!B:C""),2,FALSE),0))"),"")</f>
        <v/>
      </c>
      <c r="E30" s="8" t="str">
        <f t="shared" si="1"/>
        <v/>
      </c>
      <c r="F30" s="8" t="str">
        <f t="shared" si="2"/>
        <v/>
      </c>
    </row>
    <row r="31">
      <c r="D31" s="8" t="str">
        <f>IFERROR(__xludf.DUMMYFUNCTION("IF(A31="""","""",IFERROR(VLOOKUP(A31,IMPORTRANGE(""1BYc7QC6DSiAiVOIk9bGxY-l6QCuLim8Mv3NHeuRJWH4"",""Equipment!B:C""),2,FALSE),0))"),"")</f>
        <v/>
      </c>
      <c r="E31" s="8" t="str">
        <f t="shared" si="1"/>
        <v/>
      </c>
      <c r="F31" s="8" t="str">
        <f t="shared" si="2"/>
        <v/>
      </c>
    </row>
    <row r="32">
      <c r="D32" s="8" t="str">
        <f>IFERROR(__xludf.DUMMYFUNCTION("IF(A32="""","""",IFERROR(VLOOKUP(A32,IMPORTRANGE(""1BYc7QC6DSiAiVOIk9bGxY-l6QCuLim8Mv3NHeuRJWH4"",""Equipment!B:C""),2,FALSE),0))"),"")</f>
        <v/>
      </c>
      <c r="E32" s="8" t="str">
        <f t="shared" si="1"/>
        <v/>
      </c>
      <c r="F32" s="8" t="str">
        <f t="shared" si="2"/>
        <v/>
      </c>
    </row>
    <row r="33">
      <c r="D33" s="8" t="str">
        <f>IFERROR(__xludf.DUMMYFUNCTION("IF(A33="""","""",IFERROR(VLOOKUP(A33,IMPORTRANGE(""1BYc7QC6DSiAiVOIk9bGxY-l6QCuLim8Mv3NHeuRJWH4"",""Equipment!B:C""),2,FALSE),0))"),"")</f>
        <v/>
      </c>
      <c r="E33" s="8" t="str">
        <f t="shared" si="1"/>
        <v/>
      </c>
      <c r="F33" s="8" t="str">
        <f t="shared" si="2"/>
        <v/>
      </c>
    </row>
    <row r="34">
      <c r="D34" s="8" t="str">
        <f>IFERROR(__xludf.DUMMYFUNCTION("IF(A34="""","""",IFERROR(VLOOKUP(A34,IMPORTRANGE(""1BYc7QC6DSiAiVOIk9bGxY-l6QCuLim8Mv3NHeuRJWH4"",""Equipment!B:C""),2,FALSE),0))"),"")</f>
        <v/>
      </c>
      <c r="E34" s="8" t="str">
        <f t="shared" si="1"/>
        <v/>
      </c>
      <c r="F34" s="8" t="str">
        <f t="shared" si="2"/>
        <v/>
      </c>
    </row>
    <row r="35">
      <c r="D35" s="8" t="str">
        <f>IFERROR(__xludf.DUMMYFUNCTION("IF(A35="""","""",IFERROR(VLOOKUP(A35,IMPORTRANGE(""1BYc7QC6DSiAiVOIk9bGxY-l6QCuLim8Mv3NHeuRJWH4"",""Equipment!B:C""),2,FALSE),0))"),"")</f>
        <v/>
      </c>
      <c r="E35" s="8" t="str">
        <f t="shared" si="1"/>
        <v/>
      </c>
      <c r="F35" s="8" t="str">
        <f t="shared" si="2"/>
        <v/>
      </c>
    </row>
    <row r="36">
      <c r="D36" s="8" t="str">
        <f>IFERROR(__xludf.DUMMYFUNCTION("IF(A36="""","""",IFERROR(VLOOKUP(A36,IMPORTRANGE(""1BYc7QC6DSiAiVOIk9bGxY-l6QCuLim8Mv3NHeuRJWH4"",""Equipment!B:C""),2,FALSE),0))"),"")</f>
        <v/>
      </c>
      <c r="E36" s="8" t="str">
        <f t="shared" si="1"/>
        <v/>
      </c>
      <c r="F36" s="8" t="str">
        <f t="shared" si="2"/>
        <v/>
      </c>
    </row>
    <row r="37">
      <c r="D37" s="8" t="str">
        <f>IFERROR(__xludf.DUMMYFUNCTION("IF(A37="""","""",IFERROR(VLOOKUP(A37,IMPORTRANGE(""1BYc7QC6DSiAiVOIk9bGxY-l6QCuLim8Mv3NHeuRJWH4"",""Equipment!B:C""),2,FALSE),0))"),"")</f>
        <v/>
      </c>
      <c r="E37" s="8" t="str">
        <f t="shared" si="1"/>
        <v/>
      </c>
      <c r="F37" s="8" t="str">
        <f t="shared" si="2"/>
        <v/>
      </c>
    </row>
    <row r="38">
      <c r="D38" s="8" t="str">
        <f>IFERROR(__xludf.DUMMYFUNCTION("IF(A38="""","""",IFERROR(VLOOKUP(A38,IMPORTRANGE(""1BYc7QC6DSiAiVOIk9bGxY-l6QCuLim8Mv3NHeuRJWH4"",""Equipment!B:C""),2,FALSE),0))"),"")</f>
        <v/>
      </c>
      <c r="E38" s="8" t="str">
        <f t="shared" si="1"/>
        <v/>
      </c>
      <c r="F38" s="8" t="str">
        <f t="shared" si="2"/>
        <v/>
      </c>
    </row>
    <row r="39">
      <c r="D39" s="8" t="str">
        <f>IFERROR(__xludf.DUMMYFUNCTION("IF(A39="""","""",IFERROR(VLOOKUP(A39,IMPORTRANGE(""1BYc7QC6DSiAiVOIk9bGxY-l6QCuLim8Mv3NHeuRJWH4"",""Equipment!B:C""),2,FALSE),0))"),"")</f>
        <v/>
      </c>
      <c r="E39" s="8" t="str">
        <f t="shared" si="1"/>
        <v/>
      </c>
      <c r="F39" s="8" t="str">
        <f t="shared" si="2"/>
        <v/>
      </c>
    </row>
    <row r="40">
      <c r="D40" s="8" t="str">
        <f>IFERROR(__xludf.DUMMYFUNCTION("IF(A40="""","""",IFERROR(VLOOKUP(A40,IMPORTRANGE(""1BYc7QC6DSiAiVOIk9bGxY-l6QCuLim8Mv3NHeuRJWH4"",""Equipment!B:C""),2,FALSE),0))"),"")</f>
        <v/>
      </c>
      <c r="E40" s="8" t="str">
        <f t="shared" si="1"/>
        <v/>
      </c>
      <c r="F40" s="8" t="str">
        <f t="shared" si="2"/>
        <v/>
      </c>
    </row>
    <row r="41">
      <c r="D41" s="8" t="str">
        <f>IFERROR(__xludf.DUMMYFUNCTION("IF(A41="""","""",IFERROR(VLOOKUP(A41,IMPORTRANGE(""1BYc7QC6DSiAiVOIk9bGxY-l6QCuLim8Mv3NHeuRJWH4"",""Equipment!B:C""),2,FALSE),0))"),"")</f>
        <v/>
      </c>
      <c r="E41" s="8" t="str">
        <f t="shared" si="1"/>
        <v/>
      </c>
      <c r="F41" s="8" t="str">
        <f t="shared" si="2"/>
        <v/>
      </c>
    </row>
    <row r="42">
      <c r="D42" s="8" t="str">
        <f>IFERROR(__xludf.DUMMYFUNCTION("IF(A42="""","""",IFERROR(VLOOKUP(A42,IMPORTRANGE(""1BYc7QC6DSiAiVOIk9bGxY-l6QCuLim8Mv3NHeuRJWH4"",""Equipment!B:C""),2,FALSE),0))"),"")</f>
        <v/>
      </c>
      <c r="E42" s="8" t="str">
        <f t="shared" si="1"/>
        <v/>
      </c>
      <c r="F42" s="8" t="str">
        <f t="shared" si="2"/>
        <v/>
      </c>
    </row>
    <row r="43">
      <c r="D43" s="8" t="str">
        <f>IFERROR(__xludf.DUMMYFUNCTION("IF(A43="""","""",IFERROR(VLOOKUP(A43,IMPORTRANGE(""1BYc7QC6DSiAiVOIk9bGxY-l6QCuLim8Mv3NHeuRJWH4"",""Equipment!B:C""),2,FALSE),0))"),"")</f>
        <v/>
      </c>
      <c r="E43" s="8" t="str">
        <f t="shared" si="1"/>
        <v/>
      </c>
      <c r="F43" s="8" t="str">
        <f t="shared" si="2"/>
        <v/>
      </c>
    </row>
    <row r="44">
      <c r="D44" s="8" t="str">
        <f>IFERROR(__xludf.DUMMYFUNCTION("IF(A44="""","""",IFERROR(VLOOKUP(A44,IMPORTRANGE(""1BYc7QC6DSiAiVOIk9bGxY-l6QCuLim8Mv3NHeuRJWH4"",""Equipment!B:C""),2,FALSE),0))"),"")</f>
        <v/>
      </c>
      <c r="E44" s="8" t="str">
        <f t="shared" si="1"/>
        <v/>
      </c>
      <c r="F44" s="8" t="str">
        <f t="shared" si="2"/>
        <v/>
      </c>
    </row>
    <row r="45">
      <c r="D45" s="8" t="str">
        <f>IFERROR(__xludf.DUMMYFUNCTION("IF(A45="""","""",IFERROR(VLOOKUP(A45,IMPORTRANGE(""1BYc7QC6DSiAiVOIk9bGxY-l6QCuLim8Mv3NHeuRJWH4"",""Equipment!B:C""),2,FALSE),0))"),"")</f>
        <v/>
      </c>
      <c r="E45" s="8" t="str">
        <f t="shared" si="1"/>
        <v/>
      </c>
      <c r="F45" s="8" t="str">
        <f t="shared" si="2"/>
        <v/>
      </c>
    </row>
    <row r="46">
      <c r="D46" s="8" t="str">
        <f>IFERROR(__xludf.DUMMYFUNCTION("IF(A46="""","""",IFERROR(VLOOKUP(A46,IMPORTRANGE(""1BYc7QC6DSiAiVOIk9bGxY-l6QCuLim8Mv3NHeuRJWH4"",""Equipment!B:C""),2,FALSE),0))"),"")</f>
        <v/>
      </c>
      <c r="E46" s="8" t="str">
        <f t="shared" si="1"/>
        <v/>
      </c>
      <c r="F46" s="8" t="str">
        <f t="shared" si="2"/>
        <v/>
      </c>
    </row>
    <row r="47">
      <c r="D47" s="8" t="str">
        <f>IFERROR(__xludf.DUMMYFUNCTION("IF(A47="""","""",IFERROR(VLOOKUP(A47,IMPORTRANGE(""1BYc7QC6DSiAiVOIk9bGxY-l6QCuLim8Mv3NHeuRJWH4"",""Equipment!B:C""),2,FALSE),0))"),"")</f>
        <v/>
      </c>
      <c r="E47" s="8" t="str">
        <f t="shared" si="1"/>
        <v/>
      </c>
      <c r="F47" s="8" t="str">
        <f t="shared" si="2"/>
        <v/>
      </c>
    </row>
    <row r="48">
      <c r="D48" s="8" t="str">
        <f>IFERROR(__xludf.DUMMYFUNCTION("IF(A48="""","""",IFERROR(VLOOKUP(A48,IMPORTRANGE(""1BYc7QC6DSiAiVOIk9bGxY-l6QCuLim8Mv3NHeuRJWH4"",""Equipment!B:C""),2,FALSE),0))"),"")</f>
        <v/>
      </c>
      <c r="E48" s="8" t="str">
        <f t="shared" si="1"/>
        <v/>
      </c>
      <c r="F48" s="8" t="str">
        <f t="shared" si="2"/>
        <v/>
      </c>
    </row>
    <row r="49">
      <c r="D49" s="8" t="str">
        <f>IFERROR(__xludf.DUMMYFUNCTION("IF(A49="""","""",IFERROR(VLOOKUP(A49,IMPORTRANGE(""1BYc7QC6DSiAiVOIk9bGxY-l6QCuLim8Mv3NHeuRJWH4"",""Equipment!B:C""),2,FALSE),0))"),"")</f>
        <v/>
      </c>
      <c r="E49" s="8" t="str">
        <f t="shared" si="1"/>
        <v/>
      </c>
      <c r="F49" s="8" t="str">
        <f t="shared" si="2"/>
        <v/>
      </c>
    </row>
    <row r="50">
      <c r="D50" s="8" t="str">
        <f>IFERROR(__xludf.DUMMYFUNCTION("IF(A50="""","""",IFERROR(VLOOKUP(A50,IMPORTRANGE(""1BYc7QC6DSiAiVOIk9bGxY-l6QCuLim8Mv3NHeuRJWH4"",""Equipment!B:C""),2,FALSE),0))"),"")</f>
        <v/>
      </c>
      <c r="E50" s="8" t="str">
        <f t="shared" si="1"/>
        <v/>
      </c>
      <c r="F50" s="8" t="str">
        <f t="shared" si="2"/>
        <v/>
      </c>
    </row>
    <row r="51">
      <c r="D51" s="8" t="str">
        <f>IFERROR(__xludf.DUMMYFUNCTION("IF(A51="""","""",IFERROR(VLOOKUP(A51,IMPORTRANGE(""1BYc7QC6DSiAiVOIk9bGxY-l6QCuLim8Mv3NHeuRJWH4"",""Equipment!B:C""),2,FALSE),0))"),"")</f>
        <v/>
      </c>
      <c r="E51" s="8" t="str">
        <f t="shared" si="1"/>
        <v/>
      </c>
      <c r="F51" s="8" t="str">
        <f t="shared" si="2"/>
        <v/>
      </c>
    </row>
    <row r="52">
      <c r="D52" s="8"/>
      <c r="E52" s="8"/>
      <c r="F52" s="8"/>
    </row>
    <row r="53">
      <c r="D53" s="8"/>
      <c r="E53" s="8"/>
      <c r="F53" s="8"/>
    </row>
    <row r="54">
      <c r="D54" s="8"/>
      <c r="E54" s="8"/>
      <c r="F54" s="8"/>
    </row>
    <row r="55">
      <c r="D55" s="8"/>
      <c r="E55" s="8"/>
      <c r="F55" s="8"/>
    </row>
    <row r="56">
      <c r="D56" s="8"/>
      <c r="E56" s="8"/>
      <c r="F56" s="8"/>
    </row>
    <row r="57">
      <c r="D57" s="8"/>
      <c r="E57" s="8"/>
      <c r="F57" s="8"/>
    </row>
    <row r="58">
      <c r="D58" s="8"/>
      <c r="E58" s="8"/>
      <c r="F58" s="8"/>
    </row>
    <row r="59">
      <c r="D59" s="8"/>
      <c r="E59" s="8"/>
      <c r="F59" s="8"/>
    </row>
    <row r="60">
      <c r="D60" s="8"/>
      <c r="E60" s="8"/>
      <c r="F60" s="8"/>
    </row>
    <row r="61">
      <c r="D61" s="8"/>
      <c r="E61" s="8"/>
      <c r="F61" s="8"/>
    </row>
    <row r="62">
      <c r="D62" s="8"/>
      <c r="E62" s="8"/>
      <c r="F62" s="8"/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8">
        <f>SUM(LineItems!F:F)</f>
        <v>765</v>
      </c>
    </row>
    <row r="2">
      <c r="A2" s="1" t="s">
        <v>31</v>
      </c>
      <c r="B2" s="8">
        <f>B1*0.15</f>
        <v>114.75</v>
      </c>
    </row>
    <row r="3">
      <c r="A3" s="1" t="s">
        <v>32</v>
      </c>
      <c r="B3" s="8">
        <f>B1+B2</f>
        <v>879.75</v>
      </c>
    </row>
    <row r="4">
      <c r="A4" s="1" t="s">
        <v>33</v>
      </c>
      <c r="B4" s="9">
        <f>COUNTA(LineItems!A2:A51)</f>
        <v>10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