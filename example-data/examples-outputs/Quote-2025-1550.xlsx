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  <sheet state="hidden" name="Lookup" sheetId="4" r:id="rId7"/>
  </sheets>
  <definedNames/>
  <calcPr/>
</workbook>
</file>

<file path=xl/sharedStrings.xml><?xml version="1.0" encoding="utf-8"?>
<sst xmlns="http://schemas.openxmlformats.org/spreadsheetml/2006/main" count="30" uniqueCount="30">
  <si>
    <t>quote_number</t>
  </si>
  <si>
    <t>2025-1550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</si>
  <si>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</si>
  <si>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</si>
  <si>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</si>
  <si>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</si>
  <si>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</si>
  <si>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</si>
  <si>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</si>
  <si>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</si>
  <si>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** Backline Drum Kit Hire @ 123 Daniel Street</t>
  </si>
  <si>
    <t>event_date</t>
  </si>
  <si>
    <t>Invalid Date</t>
  </si>
  <si>
    <t>event_location</t>
  </si>
  <si>
    <t>TBC</t>
  </si>
  <si>
    <t>Gear Name</t>
  </si>
  <si>
    <t>Qty</t>
  </si>
  <si>
    <t>Days</t>
  </si>
  <si>
    <t>Unit Rate</t>
  </si>
  <si>
    <t>Day2+ Rate</t>
  </si>
  <si>
    <t>Line Total</t>
  </si>
  <si>
    <t>1 x DW Performer (Chrome Shadow) KD22 FT16 RT12 &amp; 14 snare (2023) @ $250/day (Day 1: $250, Days 2-2 @ 50%)</t>
  </si>
  <si>
    <t>1 x DW Performer (Black) KD22 FT16 RT12,10 &amp; 14 snare (2015) @ $250/day (Day 1: $250, Days 2-2 @ 50%)</t>
  </si>
  <si>
    <t>1 x Roland Electronic Drum Kit TD4 K2 @ $200/day (Day 1: $200, Days 2-2 @ 50%)</t>
  </si>
  <si>
    <t>1 x Ludwig Black Oyster  KD20 FT14,RT12,10 &amp; 14 snare (2006) @ $250/day (Day 1: $250, Days 2-2 @ 50%)</t>
  </si>
  <si>
    <t>Delivery &amp; Collection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</si>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</sst>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46021.0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2" t="s">
        <v>12</v>
      </c>
    </row>
    <row r="9">
      <c r="A9" s="1" t="s">
        <v>13</v>
      </c>
      <c r="B9" s="2" t="s">
        <v>14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21</v>
      </c>
      <c r="B2" s="7">
        <v>1.0</v>
      </c>
      <c r="C2" s="7">
        <v>1.0</v>
      </c>
      <c r="D2" s="8">
        <f>IFERROR(__xludf.DUMMYFUNCTION("IF(A2="""","""",IFERROR(VLOOKUP(A2,IMPORTRANGE(""1BYc7QC6DSiAiVOIk9bGxY-l6QCuLim8Mv3NHeuRJWH4"",""Equipment!B:C""),2,FALSE),0))"),0.0)</f>
        <v>0</v>
      </c>
      <c r="E2" s="8">
        <f t="shared" ref="E2:E51" si="1">IF(D2="","",D2*0.5)</f>
        <v>0</v>
      </c>
      <c r="F2" s="8">
        <f t="shared" ref="F2:F51" si="2">IF(OR(A2="",B2="",C2=""),"",IF(C2&gt;1,(D2+(C2-1)*E2)*B2,D2*B2))</f>
        <v>0</v>
      </c>
    </row>
    <row r="3">
      <c r="A3" s="2" t="s">
        <v>22</v>
      </c>
      <c r="B3" s="7">
        <v>1.0</v>
      </c>
      <c r="C3" s="7">
        <v>1.0</v>
      </c>
      <c r="D3" s="8">
        <f>IFERROR(__xludf.DUMMYFUNCTION("IF(A3="""","""",IFERROR(VLOOKUP(A3,IMPORTRANGE(""1BYc7QC6DSiAiVOIk9bGxY-l6QCuLim8Mv3NHeuRJWH4"",""Equipment!B:C""),2,FALSE),0))"),0.0)</f>
        <v>0</v>
      </c>
      <c r="E3" s="8">
        <f t="shared" si="1"/>
        <v>0</v>
      </c>
      <c r="F3" s="8">
        <f t="shared" si="2"/>
        <v>0</v>
      </c>
    </row>
    <row r="4">
      <c r="A4" s="2" t="s">
        <v>23</v>
      </c>
      <c r="B4" s="7">
        <v>1.0</v>
      </c>
      <c r="C4" s="7">
        <v>1.0</v>
      </c>
      <c r="D4" s="8">
        <f>IFERROR(__xludf.DUMMYFUNCTION("IF(A4="""","""",IFERROR(VLOOKUP(A4,IMPORTRANGE(""1BYc7QC6DSiAiVOIk9bGxY-l6QCuLim8Mv3NHeuRJWH4"",""Equipment!B:C""),2,FALSE),0))"),0.0)</f>
        <v>0</v>
      </c>
      <c r="E4" s="8">
        <f t="shared" si="1"/>
        <v>0</v>
      </c>
      <c r="F4" s="8">
        <f t="shared" si="2"/>
        <v>0</v>
      </c>
    </row>
    <row r="5">
      <c r="A5" s="2" t="s">
        <v>24</v>
      </c>
      <c r="B5" s="7">
        <v>1.0</v>
      </c>
      <c r="C5" s="7">
        <v>1.0</v>
      </c>
      <c r="D5" s="8">
        <f>IFERROR(__xludf.DUMMYFUNCTION("IF(A5="""","""",IFERROR(VLOOKUP(A5,IMPORTRANGE(""1BYc7QC6DSiAiVOIk9bGxY-l6QCuLim8Mv3NHeuRJWH4"",""Equipment!B:C""),2,FALSE),0))"),0.0)</f>
        <v>0</v>
      </c>
      <c r="E5" s="8">
        <f t="shared" si="1"/>
        <v>0</v>
      </c>
      <c r="F5" s="8">
        <f t="shared" si="2"/>
        <v>0</v>
      </c>
    </row>
    <row r="6">
      <c r="A6" s="2" t="s">
        <v>25</v>
      </c>
      <c r="B6" s="7">
        <v>1.0</v>
      </c>
      <c r="C6" s="7">
        <v>1.0</v>
      </c>
      <c r="D6" s="8">
        <f>IFERROR(__xludf.DUMMYFUNCTION("IF(A6="""","""",IFERROR(VLOOKUP(A6,IMPORTRANGE(""1BYc7QC6DSiAiVOIk9bGxY-l6QCuLim8Mv3NHeuRJWH4"",""Equipment!B:C""),2,FALSE),0))"),0.0)</f>
        <v>0</v>
      </c>
      <c r="E6" s="8">
        <f t="shared" si="1"/>
        <v>0</v>
      </c>
      <c r="F6" s="8">
        <f t="shared" si="2"/>
        <v>0</v>
      </c>
    </row>
    <row r="7">
      <c r="A7" s="9"/>
      <c r="D7" s="8" t="str">
        <f>IFERROR(__xludf.DUMMYFUNCTION("IF(A7="""","""",IFERROR(VLOOKUP(A7,IMPORTRANGE(""1BYc7QC6DSiAiVOIk9bGxY-l6QCuLim8Mv3NHeuRJWH4"",""Equipment!B:C""),2,FALSE),0))"),"")</f>
        <v/>
      </c>
      <c r="E7" s="8" t="str">
        <f t="shared" si="1"/>
        <v/>
      </c>
      <c r="F7" s="8" t="str">
        <f t="shared" si="2"/>
        <v/>
      </c>
    </row>
    <row r="8">
      <c r="A8" s="9"/>
      <c r="D8" s="8" t="str">
        <f>IFERROR(__xludf.DUMMYFUNCTION("IF(A8="""","""",IFERROR(VLOOKUP(A8,IMPORTRANGE(""1BYc7QC6DSiAiVOIk9bGxY-l6QCuLim8Mv3NHeuRJWH4"",""Equipment!B:C""),2,FALSE),0))"),"")</f>
        <v/>
      </c>
      <c r="E8" s="8" t="str">
        <f t="shared" si="1"/>
        <v/>
      </c>
      <c r="F8" s="8" t="str">
        <f t="shared" si="2"/>
        <v/>
      </c>
    </row>
    <row r="9">
      <c r="A9" s="9"/>
      <c r="D9" s="8" t="str">
        <f>IFERROR(__xludf.DUMMYFUNCTION("IF(A9="""","""",IFERROR(VLOOKUP(A9,IMPORTRANGE(""1BYc7QC6DSiAiVOIk9bGxY-l6QCuLim8Mv3NHeuRJWH4"",""Equipment!B:C""),2,FALSE),0))"),"")</f>
        <v/>
      </c>
      <c r="E9" s="8" t="str">
        <f t="shared" si="1"/>
        <v/>
      </c>
      <c r="F9" s="8" t="str">
        <f t="shared" si="2"/>
        <v/>
      </c>
    </row>
    <row r="10">
      <c r="A10" s="9"/>
      <c r="D10" s="8" t="str">
        <f>IFERROR(__xludf.DUMMYFUNCTION("IF(A10="""","""",IFERROR(VLOOKUP(A10,IMPORTRANGE(""1BYc7QC6DSiAiVOIk9bGxY-l6QCuLim8Mv3NHeuRJWH4"",""Equipment!B:C""),2,FALSE),0))"),"")</f>
        <v/>
      </c>
      <c r="E10" s="8" t="str">
        <f t="shared" si="1"/>
        <v/>
      </c>
      <c r="F10" s="8" t="str">
        <f t="shared" si="2"/>
        <v/>
      </c>
    </row>
    <row r="11">
      <c r="A11" s="9"/>
      <c r="D11" s="8" t="str">
        <f>IFERROR(__xludf.DUMMYFUNCTION("IF(A11="""","""",IFERROR(VLOOKUP(A11,IMPORTRANGE(""1BYc7QC6DSiAiVOIk9bGxY-l6QCuLim8Mv3NHeuRJWH4"",""Equipment!B:C""),2,FALSE),0))"),"")</f>
        <v/>
      </c>
      <c r="E11" s="8" t="str">
        <f t="shared" si="1"/>
        <v/>
      </c>
      <c r="F11" s="8" t="str">
        <f t="shared" si="2"/>
        <v/>
      </c>
    </row>
    <row r="12">
      <c r="A12" s="9"/>
      <c r="D12" s="8" t="str">
        <f>IFERROR(__xludf.DUMMYFUNCTION("IF(A12="""","""",IFERROR(VLOOKUP(A12,IMPORTRANGE(""1BYc7QC6DSiAiVOIk9bGxY-l6QCuLim8Mv3NHeuRJWH4"",""Equipment!B:C""),2,FALSE),0))"),"")</f>
        <v/>
      </c>
      <c r="E12" s="8" t="str">
        <f t="shared" si="1"/>
        <v/>
      </c>
      <c r="F12" s="8" t="str">
        <f t="shared" si="2"/>
        <v/>
      </c>
    </row>
    <row r="13">
      <c r="A13" s="9"/>
      <c r="D13" s="8" t="str">
        <f>IFERROR(__xludf.DUMMYFUNCTION("IF(A13="""","""",IFERROR(VLOOKUP(A13,IMPORTRANGE(""1BYc7QC6DSiAiVOIk9bGxY-l6QCuLim8Mv3NHeuRJWH4"",""Equipment!B:C""),2,FALSE),0))"),"")</f>
        <v/>
      </c>
      <c r="E13" s="8" t="str">
        <f t="shared" si="1"/>
        <v/>
      </c>
      <c r="F13" s="8" t="str">
        <f t="shared" si="2"/>
        <v/>
      </c>
    </row>
    <row r="14">
      <c r="A14" s="9"/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A15" s="9"/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A16" s="9"/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A17" s="9"/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A18" s="9"/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A19" s="9"/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A20" s="9"/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A21" s="9"/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A22" s="9"/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A23" s="9"/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A24" s="9"/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A25" s="9"/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A26" s="9"/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A27" s="9"/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A28" s="9"/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A29" s="9"/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A30" s="9"/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A31" s="9"/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A32" s="9"/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A33" s="9"/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A34" s="9"/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A35" s="9"/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A36" s="9"/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A37" s="9"/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A38" s="9"/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A39" s="9"/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A40" s="9"/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A41" s="9"/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A42" s="9"/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A43" s="9"/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A44" s="9"/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A45" s="9"/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A46" s="9"/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A47" s="9"/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A48" s="9"/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A49" s="9"/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A50" s="9"/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A51" s="9"/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ataValidations>
    <dataValidation type="list" allowBlank="1" sqref="A2:A51">
      <formula1>Lookup!$A:$A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8">
        <f>SUM(LineItems!F:F)</f>
        <v>0</v>
      </c>
    </row>
    <row r="2">
      <c r="A2" s="1" t="s">
        <v>27</v>
      </c>
      <c r="B2" s="8">
        <f>B1*0.15</f>
        <v>0</v>
      </c>
    </row>
    <row r="3">
      <c r="A3" s="1" t="s">
        <v>28</v>
      </c>
      <c r="B3" s="8">
        <f>B1+B2</f>
        <v>0</v>
      </c>
    </row>
    <row r="4">
      <c r="A4" s="1" t="s">
        <v>29</v>
      </c>
      <c r="B4" s="9">
        <f>COUNTA(LineItems!A2:A51)</f>
        <v>5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IFERROR(__xludf.DUMMYFUNCTION("IMPORTRANGE(""1BYc7QC6DSiAiVOIk9bGxY-l6QCuLim8Mv3NHeuRJWH4"",""Equipment!B2:B500"")"),"Behr. MPA40")</f>
        <v>Behr. MPA40</v>
      </c>
    </row>
    <row r="2">
      <c r="A2" s="9" t="str">
        <f>IFERROR(__xludf.DUMMYFUNCTION("""COMPUTED_VALUE"""),"Digitech")</f>
        <v>Digitech</v>
      </c>
    </row>
    <row r="3">
      <c r="A3" s="9" t="str">
        <f>IFERROR(__xludf.DUMMYFUNCTION("""COMPUTED_VALUE"""),"JBL 310 Party Box")</f>
        <v>JBL 310 Party Box</v>
      </c>
    </row>
    <row r="4">
      <c r="A4" s="9" t="str">
        <f>IFERROR(__xludf.DUMMYFUNCTION("""COMPUTED_VALUE"""),"Allen &amp; Heath Mix Wizard")</f>
        <v>Allen &amp; Heath Mix Wizard</v>
      </c>
    </row>
    <row r="5">
      <c r="A5" s="9" t="str">
        <f>IFERROR(__xludf.DUMMYFUNCTION("""COMPUTED_VALUE"""),"Alto 802 #1 incl FX 1 send")</f>
        <v>Alto 802 #1 incl FX 1 send</v>
      </c>
    </row>
    <row r="6">
      <c r="A6" s="9" t="str">
        <f>IFERROR(__xludf.DUMMYFUNCTION("""COMPUTED_VALUE"""),"Behringer Flow")</f>
        <v>Behringer Flow</v>
      </c>
    </row>
    <row r="7">
      <c r="A7" s="9" t="str">
        <f>IFERROR(__xludf.DUMMYFUNCTION("""COMPUTED_VALUE"""),"Behringer XR16 Digital Mixer")</f>
        <v>Behringer XR16 Digital Mixer</v>
      </c>
    </row>
    <row r="8">
      <c r="A8" s="9" t="str">
        <f>IFERROR(__xludf.DUMMYFUNCTION("""COMPUTED_VALUE"""),"M32 Console")</f>
        <v>M32 Console</v>
      </c>
    </row>
    <row r="9">
      <c r="A9" s="9" t="str">
        <f>IFERROR(__xludf.DUMMYFUNCTION("""COMPUTED_VALUE"""),"Mackie 2 ch Mixer")</f>
        <v>Mackie 2 ch Mixer</v>
      </c>
    </row>
    <row r="10">
      <c r="A10" s="9" t="str">
        <f>IFERROR(__xludf.DUMMYFUNCTION("""COMPUTED_VALUE"""),"Soundcraft Spirit M12")</f>
        <v>Soundcraft Spirit M12</v>
      </c>
    </row>
    <row r="11">
      <c r="A11" s="9" t="str">
        <f>IFERROR(__xludf.DUMMYFUNCTION("""COMPUTED_VALUE"""),"X32 Compact Console")</f>
        <v>X32 Compact Console</v>
      </c>
    </row>
    <row r="12">
      <c r="A12" s="9" t="str">
        <f>IFERROR(__xludf.DUMMYFUNCTION("""COMPUTED_VALUE"""),"X32 Rack Console")</f>
        <v>X32 Rack Console</v>
      </c>
    </row>
    <row r="13">
      <c r="A13" s="9" t="str">
        <f>IFERROR(__xludf.DUMMYFUNCTION("""COMPUTED_VALUE"""),"S16")</f>
        <v>S16</v>
      </c>
    </row>
    <row r="14">
      <c r="A14" s="9" t="str">
        <f>IFERROR(__xludf.DUMMYFUNCTION("""COMPUTED_VALUE"""),"SD8")</f>
        <v>SD8</v>
      </c>
    </row>
    <row r="15">
      <c r="A15" s="9" t="str">
        <f>IFERROR(__xludf.DUMMYFUNCTION("""COMPUTED_VALUE"""),"Sennheiser 902")</f>
        <v>Sennheiser 902</v>
      </c>
    </row>
    <row r="16">
      <c r="A16" s="9" t="str">
        <f>IFERROR(__xludf.DUMMYFUNCTION("""COMPUTED_VALUE"""),"Sennheiser E604")</f>
        <v>Sennheiser E604</v>
      </c>
    </row>
    <row r="17">
      <c r="A17" s="9" t="str">
        <f>IFERROR(__xludf.DUMMYFUNCTION("""COMPUTED_VALUE"""),"Shure Beta52A")</f>
        <v>Shure Beta52A</v>
      </c>
    </row>
    <row r="18">
      <c r="A18" s="9" t="str">
        <f>IFERROR(__xludf.DUMMYFUNCTION("""COMPUTED_VALUE"""),"Shure Beta91A")</f>
        <v>Shure Beta91A</v>
      </c>
    </row>
    <row r="19">
      <c r="A19" s="9" t="str">
        <f>IFERROR(__xludf.DUMMYFUNCTION("""COMPUTED_VALUE"""),"Sennheiser G4 IEM")</f>
        <v>Sennheiser G4 IEM</v>
      </c>
    </row>
    <row r="20">
      <c r="A20" s="9" t="str">
        <f>IFERROR(__xludf.DUMMYFUNCTION("""COMPUTED_VALUE"""),"Smart Acoustics SC250")</f>
        <v>Smart Acoustics SC250</v>
      </c>
    </row>
    <row r="21">
      <c r="A21" s="9" t="str">
        <f>IFERROR(__xludf.DUMMYFUNCTION("""COMPUTED_VALUE"""),"SmartAcoustics IEM250")</f>
        <v>SmartAcoustics IEM250</v>
      </c>
    </row>
    <row r="22">
      <c r="A22" s="9" t="str">
        <f>IFERROR(__xludf.DUMMYFUNCTION("""COMPUTED_VALUE"""),"AKG C3000")</f>
        <v>AKG C3000</v>
      </c>
    </row>
    <row r="23">
      <c r="A23" s="9" t="str">
        <f>IFERROR(__xludf.DUMMYFUNCTION("""COMPUTED_VALUE"""),"Audix f90 Condenser")</f>
        <v>Audix f90 Condenser</v>
      </c>
    </row>
    <row r="24">
      <c r="A24" s="9" t="str">
        <f>IFERROR(__xludf.DUMMYFUNCTION("""COMPUTED_VALUE"""),"Sennheiser E906")</f>
        <v>Sennheiser E906</v>
      </c>
    </row>
    <row r="25">
      <c r="A25" s="9" t="str">
        <f>IFERROR(__xludf.DUMMYFUNCTION("""COMPUTED_VALUE"""),"Shure SM57")</f>
        <v>Shure SM57</v>
      </c>
    </row>
    <row r="26">
      <c r="A26" s="9" t="str">
        <f>IFERROR(__xludf.DUMMYFUNCTION("""COMPUTED_VALUE"""),"AV 100w rack Amp")</f>
        <v>AV 100w rack Amp</v>
      </c>
    </row>
    <row r="27">
      <c r="A27" s="9" t="str">
        <f>IFERROR(__xludf.DUMMYFUNCTION("""COMPUTED_VALUE"""),"Behr. NU4 6000 4 ch")</f>
        <v>Behr. NU4 6000 4 ch</v>
      </c>
    </row>
    <row r="28">
      <c r="A28" s="9" t="str">
        <f>IFERROR(__xludf.DUMMYFUNCTION("""COMPUTED_VALUE"""),"Behr. NX4 6000 4 ch")</f>
        <v>Behr. NX4 6000 4 ch</v>
      </c>
    </row>
    <row r="29">
      <c r="A29" s="9" t="str">
        <f>IFERROR(__xludf.DUMMYFUNCTION("""COMPUTED_VALUE"""),"Crown 1002")</f>
        <v>Crown 1002</v>
      </c>
    </row>
    <row r="30">
      <c r="A30" s="9" t="str">
        <f>IFERROR(__xludf.DUMMYFUNCTION("""COMPUTED_VALUE"""),"Crown 4002")</f>
        <v>Crown 4002</v>
      </c>
    </row>
    <row r="31">
      <c r="A31" s="9" t="str">
        <f>IFERROR(__xludf.DUMMYFUNCTION("""COMPUTED_VALUE"""),"Crown XLS202")</f>
        <v>Crown XLS202</v>
      </c>
    </row>
    <row r="32">
      <c r="A32" s="9" t="str">
        <f>IFERROR(__xludf.DUMMYFUNCTION("""COMPUTED_VALUE"""),"iNuke 12000")</f>
        <v>iNuke 12000</v>
      </c>
    </row>
    <row r="33">
      <c r="A33" s="9" t="str">
        <f>IFERROR(__xludf.DUMMYFUNCTION("""COMPUTED_VALUE"""),"iTech4000")</f>
        <v>iTech4000</v>
      </c>
    </row>
    <row r="34">
      <c r="A34" s="9" t="str">
        <f>IFERROR(__xludf.DUMMYFUNCTION("""COMPUTED_VALUE"""),"Mackie 1400")</f>
        <v>Mackie 1400</v>
      </c>
    </row>
    <row r="35">
      <c r="A35" s="9" t="str">
        <f>IFERROR(__xludf.DUMMYFUNCTION("""COMPUTED_VALUE"""),"15/2” Mackie Passive")</f>
        <v>15/2” Mackie Passive</v>
      </c>
    </row>
    <row r="36">
      <c r="A36" s="9" t="str">
        <f>IFERROR(__xludf.DUMMYFUNCTION("""COMPUTED_VALUE"""),"Citronic 2 x18” Sub")</f>
        <v>Citronic 2 x18” Sub</v>
      </c>
    </row>
    <row r="37">
      <c r="A37" s="9" t="str">
        <f>IFERROR(__xludf.DUMMYFUNCTION("""COMPUTED_VALUE"""),"Citronic 8” Full range")</f>
        <v>Citronic 8” Full range</v>
      </c>
    </row>
    <row r="38">
      <c r="A38" s="9" t="str">
        <f>IFERROR(__xludf.DUMMYFUNCTION("""COMPUTED_VALUE"""),"EV ZL1 8” full range")</f>
        <v>EV ZL1 8” full range</v>
      </c>
    </row>
    <row r="39">
      <c r="A39" s="9" t="str">
        <f>IFERROR(__xludf.DUMMYFUNCTION("""COMPUTED_VALUE"""),"EV ZLX12")</f>
        <v>EV ZLX12</v>
      </c>
    </row>
    <row r="40">
      <c r="A40" s="9" t="str">
        <f>IFERROR(__xludf.DUMMYFUNCTION("""COMPUTED_VALUE"""),"Mackie 15” SW1500 Sub")</f>
        <v>Mackie 15” SW1500 Sub</v>
      </c>
    </row>
    <row r="41">
      <c r="A41" s="9" t="str">
        <f>IFERROR(__xludf.DUMMYFUNCTION("""COMPUTED_VALUE"""),"Mackie Passive 10”")</f>
        <v>Mackie Passive 10”</v>
      </c>
    </row>
    <row r="42">
      <c r="A42" s="9" t="str">
        <f>IFERROR(__xludf.DUMMYFUNCTION("""COMPUTED_VALUE"""),"Vox Column 2 x10 + Horn")</f>
        <v>Vox Column 2 x10 + Horn</v>
      </c>
    </row>
    <row r="43">
      <c r="A43" s="9" t="str">
        <f>IFERROR(__xludf.DUMMYFUNCTION("""COMPUTED_VALUE"""),"Behringer PMP960M 400w x")</f>
        <v>Behringer PMP960M 400w x</v>
      </c>
    </row>
    <row r="44">
      <c r="A44" s="9" t="str">
        <f>IFERROR(__xludf.DUMMYFUNCTION("""COMPUTED_VALUE"""),"Samson Expedition 200w x")</f>
        <v>Samson Expedition 200w x</v>
      </c>
    </row>
    <row r="45">
      <c r="A45" s="9" t="str">
        <f>IFERROR(__xludf.DUMMYFUNCTION("""COMPUTED_VALUE"""),"EV EKX 18 Sub")</f>
        <v>EV EKX 18 Sub</v>
      </c>
    </row>
    <row r="46">
      <c r="A46" s="9" t="str">
        <f>IFERROR(__xludf.DUMMYFUNCTION("""COMPUTED_VALUE"""),"EV EKX12")</f>
        <v>EV EKX12</v>
      </c>
    </row>
    <row r="47">
      <c r="A47" s="9" t="str">
        <f>IFERROR(__xludf.DUMMYFUNCTION("""COMPUTED_VALUE"""),"EV EKX18 Sub")</f>
        <v>EV EKX18 Sub</v>
      </c>
    </row>
    <row r="48">
      <c r="A48" s="9" t="str">
        <f>IFERROR(__xludf.DUMMYFUNCTION("""COMPUTED_VALUE"""),"EV ELX200")</f>
        <v>EV ELX200</v>
      </c>
    </row>
    <row r="49">
      <c r="A49" s="9" t="str">
        <f>IFERROR(__xludf.DUMMYFUNCTION("""COMPUTED_VALUE"""),"EV ETX 35P")</f>
        <v>EV ETX 35P</v>
      </c>
    </row>
    <row r="50">
      <c r="A50" s="9" t="str">
        <f>IFERROR(__xludf.DUMMYFUNCTION("""COMPUTED_VALUE"""),"EV ZLX 8P G2")</f>
        <v>EV ZLX 8P G2</v>
      </c>
    </row>
    <row r="51">
      <c r="A51" s="9" t="str">
        <f>IFERROR(__xludf.DUMMYFUNCTION("""COMPUTED_VALUE"""),"JBL Eon10 # 1 full range")</f>
        <v>JBL Eon10 # 1 full range</v>
      </c>
    </row>
    <row r="52">
      <c r="A52" s="9" t="str">
        <f>IFERROR(__xludf.DUMMYFUNCTION("""COMPUTED_VALUE"""),"JBL Eon10 # 2 full range")</f>
        <v>JBL Eon10 # 2 full range</v>
      </c>
    </row>
    <row r="53">
      <c r="A53" s="9" t="str">
        <f>IFERROR(__xludf.DUMMYFUNCTION("""COMPUTED_VALUE"""),"Mackie SRM350-10 full range")</f>
        <v>Mackie SRM350-10 full range</v>
      </c>
    </row>
    <row r="54">
      <c r="A54" s="9" t="str">
        <f>IFERROR(__xludf.DUMMYFUNCTION("""COMPUTED_VALUE"""),"Mackie SRM450 full range")</f>
        <v>Mackie SRM450 full range</v>
      </c>
    </row>
    <row r="55">
      <c r="A55" s="9" t="str">
        <f>IFERROR(__xludf.DUMMYFUNCTION("""COMPUTED_VALUE"""),"Mackie SRS1500 Sub #1 15” powered")</f>
        <v>Mackie SRS1500 Sub #1 15” powered</v>
      </c>
    </row>
    <row r="56">
      <c r="A56" s="9" t="str">
        <f>IFERROR(__xludf.DUMMYFUNCTION("""COMPUTED_VALUE"""),"QSC K12")</f>
        <v>QSC K12</v>
      </c>
    </row>
    <row r="57">
      <c r="A57" s="9" t="str">
        <f>IFERROR(__xludf.DUMMYFUNCTION("""COMPUTED_VALUE"""),"QSC K12 Sub")</f>
        <v>QSC K12 Sub</v>
      </c>
    </row>
    <row r="58">
      <c r="A58" s="9" t="str">
        <f>IFERROR(__xludf.DUMMYFUNCTION("""COMPUTED_VALUE"""),"DBX 31 band EQ")</f>
        <v>DBX 31 band EQ</v>
      </c>
    </row>
    <row r="59">
      <c r="A59" s="9" t="str">
        <f>IFERROR(__xludf.DUMMYFUNCTION("""COMPUTED_VALUE"""),"DBX Compressor")</f>
        <v>DBX Compressor</v>
      </c>
    </row>
    <row r="60">
      <c r="A60" s="9" t="str">
        <f>IFERROR(__xludf.DUMMYFUNCTION("""COMPUTED_VALUE"""),"Dbx Drive Rack")</f>
        <v>Dbx Drive Rack</v>
      </c>
    </row>
    <row r="61">
      <c r="A61" s="9" t="str">
        <f>IFERROR(__xludf.DUMMYFUNCTION("""COMPUTED_VALUE"""),"Lexicon FX unit")</f>
        <v>Lexicon FX unit</v>
      </c>
    </row>
    <row r="62">
      <c r="A62" s="9" t="str">
        <f>IFERROR(__xludf.DUMMYFUNCTION("""COMPUTED_VALUE"""),"Warwick Bass pre-amp")</f>
        <v>Warwick Bass pre-amp</v>
      </c>
    </row>
    <row r="63">
      <c r="A63" s="9" t="str">
        <f>IFERROR(__xludf.DUMMYFUNCTION("""COMPUTED_VALUE"""),"Shure Beta57a")</f>
        <v>Shure Beta57a</v>
      </c>
    </row>
    <row r="64">
      <c r="A64" s="9" t="str">
        <f>IFERROR(__xludf.DUMMYFUNCTION("""COMPUTED_VALUE"""),"Shure Beta58a")</f>
        <v>Shure Beta58a</v>
      </c>
    </row>
    <row r="65">
      <c r="A65" s="9" t="str">
        <f>IFERROR(__xludf.DUMMYFUNCTION("""COMPUTED_VALUE"""),"Shure SM58")</f>
        <v>Shure SM58</v>
      </c>
    </row>
    <row r="66">
      <c r="A66" s="9" t="str">
        <f>IFERROR(__xludf.DUMMYFUNCTION("""COMPUTED_VALUE"""),"Sennheiser RD300")</f>
        <v>Sennheiser RD300</v>
      </c>
    </row>
    <row r="67">
      <c r="A67" s="9" t="str">
        <f>IFERROR(__xludf.DUMMYFUNCTION("""COMPUTED_VALUE"""),"Sennheiser RE3ND765H")</f>
        <v>Sennheiser RE3ND765H</v>
      </c>
    </row>
    <row r="68">
      <c r="A68" s="9" t="str">
        <f>IFERROR(__xludf.DUMMYFUNCTION("""COMPUTED_VALUE"""),"Shure SM58 BLX")</f>
        <v>Shure SM58 BLX</v>
      </c>
    </row>
    <row r="69">
      <c r="A69" s="9" t="str">
        <f>IFERROR(__xludf.DUMMYFUNCTION("""COMPUTED_VALUE"""),"Guitar Stands: Variety of models for most instruments available")</f>
        <v>Guitar Stands: Variety of models for most instruments available</v>
      </c>
    </row>
    <row r="70">
      <c r="A70" s="9" t="str">
        <f>IFERROR(__xludf.DUMMYFUNCTION("""COMPUTED_VALUE"""),"Persian Style Carpets 3x2m (7 available)")</f>
        <v>Persian Style Carpets 3x2m (7 available)</v>
      </c>
    </row>
    <row r="71">
      <c r="A71" s="9" t="str">
        <f>IFERROR(__xludf.DUMMYFUNCTION("""COMPUTED_VALUE"""),"Various High Stools")</f>
        <v>Various High Stools</v>
      </c>
    </row>
    <row r="72">
      <c r="A72" s="9" t="str">
        <f>IFERROR(__xludf.DUMMYFUNCTION("""COMPUTED_VALUE"""),"Ampeg 1 x15 Classic")</f>
        <v>Ampeg 1 x15 Classic</v>
      </c>
    </row>
    <row r="73">
      <c r="A73" s="9" t="str">
        <f>IFERROR(__xludf.DUMMYFUNCTION("""COMPUTED_VALUE"""),"Ampeg 4 x 10 Classic")</f>
        <v>Ampeg 4 x 10 Classic</v>
      </c>
    </row>
    <row r="74">
      <c r="A74" s="9" t="str">
        <f>IFERROR(__xludf.DUMMYFUNCTION("""COMPUTED_VALUE"""),"Ampeg 8 x 10 Classic")</f>
        <v>Ampeg 8 x 10 Classic</v>
      </c>
    </row>
    <row r="75">
      <c r="A75" s="9" t="str">
        <f>IFERROR(__xludf.DUMMYFUNCTION("""COMPUTED_VALUE"""),"Ashdown 1 x 15")</f>
        <v>Ashdown 1 x 15</v>
      </c>
    </row>
    <row r="76">
      <c r="A76" s="9" t="str">
        <f>IFERROR(__xludf.DUMMYFUNCTION("""COMPUTED_VALUE"""),"Ashdown 4 x 10")</f>
        <v>Ashdown 4 x 10</v>
      </c>
    </row>
    <row r="77">
      <c r="A77" s="9" t="str">
        <f>IFERROR(__xludf.DUMMYFUNCTION("""COMPUTED_VALUE"""),"Ashdown 4 x 10 combo")</f>
        <v>Ashdown 4 x 10 combo</v>
      </c>
    </row>
    <row r="78">
      <c r="A78" s="9" t="str">
        <f>IFERROR(__xludf.DUMMYFUNCTION("""COMPUTED_VALUE"""),"Beatles Bass (Hofner Copy)")</f>
        <v>Beatles Bass (Hofner Copy)</v>
      </c>
    </row>
    <row r="79">
      <c r="A79" s="9" t="str">
        <f>IFERROR(__xludf.DUMMYFUNCTION("""COMPUTED_VALUE"""),"Fender Jazz 4 string (American 1973)")</f>
        <v>Fender Jazz 4 string (American 1973)</v>
      </c>
    </row>
    <row r="80">
      <c r="A80" s="9" t="str">
        <f>IFERROR(__xludf.DUMMYFUNCTION("""COMPUTED_VALUE"""),"Fender Jazz Squire  5 string (Japan 1990)")</f>
        <v>Fender Jazz Squire  5 string (Japan 1990)</v>
      </c>
    </row>
    <row r="81">
      <c r="A81" s="9" t="str">
        <f>IFERROR(__xludf.DUMMYFUNCTION("""COMPUTED_VALUE"""),"Ovation Typhoon 4 string (American 1968)")</f>
        <v>Ovation Typhoon 4 string (American 1968)</v>
      </c>
    </row>
    <row r="82">
      <c r="A82" s="9" t="str">
        <f>IFERROR(__xludf.DUMMYFUNCTION("""COMPUTED_VALUE"""),"Aguila AG700")</f>
        <v>Aguila AG700</v>
      </c>
    </row>
    <row r="83">
      <c r="A83" s="9" t="str">
        <f>IFERROR(__xludf.DUMMYFUNCTION("""COMPUTED_VALUE"""),"Aguila Tone Hammer 700")</f>
        <v>Aguila Tone Hammer 700</v>
      </c>
    </row>
    <row r="84">
      <c r="A84" s="9" t="str">
        <f>IFERROR(__xludf.DUMMYFUNCTION("""COMPUTED_VALUE"""),"Ampeg SVT Classic")</f>
        <v>Ampeg SVT Classic</v>
      </c>
    </row>
    <row r="85">
      <c r="A85" s="9" t="str">
        <f>IFERROR(__xludf.DUMMYFUNCTION("""COMPUTED_VALUE"""),"Ampeg SVT Pro 3")</f>
        <v>Ampeg SVT Pro 3</v>
      </c>
    </row>
    <row r="86">
      <c r="A86" s="9" t="str">
        <f>IFERROR(__xludf.DUMMYFUNCTION("""COMPUTED_VALUE"""),"Ampeg SVT Pro 7")</f>
        <v>Ampeg SVT Pro 7</v>
      </c>
    </row>
    <row r="87">
      <c r="A87" s="9" t="str">
        <f>IFERROR(__xludf.DUMMYFUNCTION("""COMPUTED_VALUE"""),"Ampeg SVT T200 Classic")</f>
        <v>Ampeg SVT T200 Classic</v>
      </c>
    </row>
    <row r="88">
      <c r="A88" s="9" t="str">
        <f>IFERROR(__xludf.DUMMYFUNCTION("""COMPUTED_VALUE"""),"Ashdown AGM 600")</f>
        <v>Ashdown AGM 600</v>
      </c>
    </row>
    <row r="89">
      <c r="A89" s="9" t="str">
        <f>IFERROR(__xludf.DUMMYFUNCTION("""COMPUTED_VALUE"""),"Ashdown MAG 300")</f>
        <v>Ashdown MAG 300</v>
      </c>
    </row>
    <row r="90">
      <c r="A90" s="9" t="str">
        <f>IFERROR(__xludf.DUMMYFUNCTION("""COMPUTED_VALUE"""),"Ashdown MAG 300 (note: with 4x10 combo format)")</f>
        <v>Ashdown MAG 300 (note: with 4x10 combo format)</v>
      </c>
    </row>
    <row r="91">
      <c r="A91" s="9" t="str">
        <f>IFERROR(__xludf.DUMMYFUNCTION("""COMPUTED_VALUE"""),"T 60 Vox Bass/kybd (1 x 12” combo)")</f>
        <v>T 60 Vox Bass/kybd (1 x 12” combo)</v>
      </c>
    </row>
    <row r="92">
      <c r="A92" s="9" t="str">
        <f>IFERROR(__xludf.DUMMYFUNCTION("""COMPUTED_VALUE"""),"Paiste ‘502 Plus’ Crash, Ride &amp; HH - Entry")</f>
        <v>Paiste ‘502 Plus’ Crash, Ride &amp; HH - Entry</v>
      </c>
    </row>
    <row r="93">
      <c r="A93" s="9" t="str">
        <f>IFERROR(__xludf.DUMMYFUNCTION("""COMPUTED_VALUE"""),"Paiste ‘PST8’ 16” Crash,16” Ride,10” Splash &amp; 14” HH - Intermediate")</f>
        <v>Paiste ‘PST8’ 16” Crash,16” Ride,10” Splash &amp; 14” HH - Intermediate</v>
      </c>
    </row>
    <row r="94">
      <c r="A94" s="9" t="str">
        <f>IFERROR(__xludf.DUMMYFUNCTION("""COMPUTED_VALUE"""),"Zildjiam Custom 20” Med Ride, 18” fast Crash, 16” fast Crash, 20” Trash China 14” Dark HH  - Professional")</f>
        <v>Zildjiam Custom 20” Med Ride, 18” fast Crash, 16” fast Crash, 20” Trash China 14” Dark HH  - Professional</v>
      </c>
    </row>
    <row r="95">
      <c r="A95" s="9" t="str">
        <f>IFERROR(__xludf.DUMMYFUNCTION("""COMPUTED_VALUE"""),"DW Performer (Black) KD22 FT16 RT12,10 &amp; 14 snare (2015)")</f>
        <v>DW Performer (Black) KD22 FT16 RT12,10 &amp; 14 snare (2015)</v>
      </c>
    </row>
    <row r="96">
      <c r="A96" s="9" t="str">
        <f>IFERROR(__xludf.DUMMYFUNCTION("""COMPUTED_VALUE"""),"DW Performer (Chrome Shadow) KD22 FT16 RT12 &amp; 14 snare (2023)")</f>
        <v>DW Performer (Chrome Shadow) KD22 FT16 RT12 &amp; 14 snare (2023)</v>
      </c>
    </row>
    <row r="97">
      <c r="A97" s="9" t="str">
        <f>IFERROR(__xludf.DUMMYFUNCTION("""COMPUTED_VALUE"""),"Ludwig Black Oyster  KD20 FT14,RT12,10 &amp; 14 snare (2006)")</f>
        <v>Ludwig Black Oyster  KD20 FT14,RT12,10 &amp; 14 snare (2006)</v>
      </c>
    </row>
    <row r="98">
      <c r="A98" s="9" t="str">
        <f>IFERROR(__xludf.DUMMYFUNCTION("""COMPUTED_VALUE"""),"Roland Electronic Drum Kit TD4 K2")</f>
        <v>Roland Electronic Drum Kit TD4 K2</v>
      </c>
    </row>
    <row r="99">
      <c r="A99" s="9" t="str">
        <f>IFERROR(__xludf.DUMMYFUNCTION("""COMPUTED_VALUE"""),"Snares: Ludwig, Tama StarClassic, Tama SuperStar, &amp; DW")</f>
        <v>Snares: Ludwig, Tama StarClassic, Tama SuperStar, &amp; DW</v>
      </c>
    </row>
    <row r="100">
      <c r="A100" s="9" t="str">
        <f>IFERROR(__xludf.DUMMYFUNCTION("""COMPUTED_VALUE"""),"Tama Star Classic (Black Sparkle) KD22,FT16,RT12,10 &amp; 14 snare (2012)")</f>
        <v>Tama Star Classic (Black Sparkle) KD22,FT16,RT12,10 &amp; 14 snare (2012)</v>
      </c>
    </row>
    <row r="101">
      <c r="A101" s="9" t="str">
        <f>IFERROR(__xludf.DUMMYFUNCTION("""COMPUTED_VALUE"""),"100w Peavey Keyboard Amp 3 channel (15”+HF)")</f>
        <v>100w Peavey Keyboard Amp 3 channel (15”+HF)</v>
      </c>
    </row>
    <row r="102">
      <c r="A102" s="9" t="str">
        <f>IFERROR(__xludf.DUMMYFUNCTION("""COMPUTED_VALUE"""),"Epiphone Blues Custom (2 x 12”, Tube)")</f>
        <v>Epiphone Blues Custom (2 x 12”, Tube)</v>
      </c>
    </row>
    <row r="103">
      <c r="A103" s="9" t="str">
        <f>IFERROR(__xludf.DUMMYFUNCTION("""COMPUTED_VALUE"""),"Fender Blues Junior IV (15w / Black)")</f>
        <v>Fender Blues Junior IV (15w / Black)</v>
      </c>
    </row>
    <row r="104">
      <c r="A104" s="9" t="str">
        <f>IFERROR(__xludf.DUMMYFUNCTION("""COMPUTED_VALUE"""),"Fender Blues Junior IV (15w / Tweed)")</f>
        <v>Fender Blues Junior IV (15w / Tweed)</v>
      </c>
    </row>
    <row r="105">
      <c r="A105" s="9" t="str">
        <f>IFERROR(__xludf.DUMMYFUNCTION("""COMPUTED_VALUE"""),"Fender Hot Rod Deluxe III 1x12” cab")</f>
        <v>Fender Hot Rod Deluxe III 1x12” cab</v>
      </c>
    </row>
    <row r="106">
      <c r="A106" s="9" t="str">
        <f>IFERROR(__xludf.DUMMYFUNCTION("""COMPUTED_VALUE"""),"Fender Hot Rod Deluxe IV (40w / 1 x 12”)")</f>
        <v>Fender Hot Rod Deluxe IV (40w / 1 x 12”)</v>
      </c>
    </row>
    <row r="107">
      <c r="A107" s="9" t="str">
        <f>IFERROR(__xludf.DUMMYFUNCTION("""COMPUTED_VALUE"""),"Fender Hot Rod Deville 2 x12")</f>
        <v>Fender Hot Rod Deville 2 x12</v>
      </c>
    </row>
    <row r="108">
      <c r="A108" s="9" t="str">
        <f>IFERROR(__xludf.DUMMYFUNCTION("""COMPUTED_VALUE"""),"Fender Hot Rod Deville 4x10")</f>
        <v>Fender Hot Rod Deville 4x10</v>
      </c>
    </row>
    <row r="109">
      <c r="A109" s="9" t="str">
        <f>IFERROR(__xludf.DUMMYFUNCTION("""COMPUTED_VALUE"""),"Fender Princeton ’65 - 12w / 12” Canabis Rex")</f>
        <v>Fender Princeton ’65 - 12w / 12” Canabis Rex</v>
      </c>
    </row>
    <row r="110">
      <c r="A110" s="9" t="str">
        <f>IFERROR(__xludf.DUMMYFUNCTION("""COMPUTED_VALUE"""),"Fender Reverb Deluxe - 22 watt 12”")</f>
        <v>Fender Reverb Deluxe - 22 watt 12”</v>
      </c>
    </row>
    <row r="111">
      <c r="A111" s="9" t="str">
        <f>IFERROR(__xludf.DUMMYFUNCTION("""COMPUTED_VALUE"""),"Fender Reverb Deluxe - SuperSonic 22")</f>
        <v>Fender Reverb Deluxe - SuperSonic 22</v>
      </c>
    </row>
    <row r="112">
      <c r="A112" s="9" t="str">
        <f>IFERROR(__xludf.DUMMYFUNCTION("""COMPUTED_VALUE"""),"Fender Twin ’68 reissue Silverface 2 x 12”")</f>
        <v>Fender Twin ’68 reissue Silverface 2 x 12”</v>
      </c>
    </row>
    <row r="113">
      <c r="A113" s="9" t="str">
        <f>IFERROR(__xludf.DUMMYFUNCTION("""COMPUTED_VALUE"""),"Fender Twin Blackface Pro Tube Series 2005 (2 ch with Master &amp; Gain) 2x12”")</f>
        <v>Fender Twin Blackface Pro Tube Series 2005 (2 ch with Master &amp; Gain) 2x12”</v>
      </c>
    </row>
    <row r="114">
      <c r="A114" s="9" t="str">
        <f>IFERROR(__xludf.DUMMYFUNCTION("""COMPUTED_VALUE"""),"Marshall 1960A 4 x 12” cabinet")</f>
        <v>Marshall 1960A 4 x 12” cabinet</v>
      </c>
    </row>
    <row r="115">
      <c r="A115" s="9" t="str">
        <f>IFERROR(__xludf.DUMMYFUNCTION("""COMPUTED_VALUE"""),"Marshall 1960B 4 x 12” cabinet")</f>
        <v>Marshall 1960B 4 x 12” cabinet</v>
      </c>
    </row>
    <row r="116">
      <c r="A116" s="9" t="str">
        <f>IFERROR(__xludf.DUMMYFUNCTION("""COMPUTED_VALUE"""),"Marshall JCM 800 (100w Tube)")</f>
        <v>Marshall JCM 800 (100w Tube)</v>
      </c>
    </row>
    <row r="117">
      <c r="A117" s="9" t="str">
        <f>IFERROR(__xludf.DUMMYFUNCTION("""COMPUTED_VALUE"""),"Marshall JCM 900 (50w, Tube)")</f>
        <v>Marshall JCM 900 (50w, Tube)</v>
      </c>
    </row>
    <row r="118">
      <c r="A118" s="9" t="str">
        <f>IFERROR(__xludf.DUMMYFUNCTION("""COMPUTED_VALUE"""),"Roland JC120 (2 x 12’ Combo)")</f>
        <v>Roland JC120 (2 x 12’ Combo)</v>
      </c>
    </row>
    <row r="119">
      <c r="A119" s="9" t="str">
        <f>IFERROR(__xludf.DUMMYFUNCTION("""COMPUTED_VALUE"""),"Roland KC550 Kybd amp Stereo /4 ch (15” / HF)")</f>
        <v>Roland KC550 Kybd amp Stereo /4 ch (15” / HF)</v>
      </c>
    </row>
    <row r="120">
      <c r="A120" s="9" t="str">
        <f>IFERROR(__xludf.DUMMYFUNCTION("""COMPUTED_VALUE"""),"Vox AC15 H (Hand wired / 12” Greenback)")</f>
        <v>Vox AC15 H (Hand wired / 12” Greenback)</v>
      </c>
    </row>
    <row r="121">
      <c r="A121" s="9" t="str">
        <f>IFERROR(__xludf.DUMMYFUNCTION("""COMPUTED_VALUE"""),"Vox AC15R Practice amp (8”)")</f>
        <v>Vox AC15R Practice amp (8”)</v>
      </c>
    </row>
    <row r="122">
      <c r="A122" s="9" t="str">
        <f>IFERROR(__xludf.DUMMYFUNCTION("""COMPUTED_VALUE"""),"Vox AC30 CC2, (2x12” Greenback speakers)")</f>
        <v>Vox AC30 CC2, (2x12” Greenback speakers)</v>
      </c>
    </row>
    <row r="123">
      <c r="A123" s="9" t="str">
        <f>IFERROR(__xludf.DUMMYFUNCTION("""COMPUTED_VALUE"""),"Vox AC30 CC2, (2x12”, Alnico’s Blue speakers)")</f>
        <v>Vox AC30 CC2, (2x12”, Alnico’s Blue speakers)</v>
      </c>
    </row>
    <row r="124">
      <c r="A124" s="9" t="str">
        <f>IFERROR(__xludf.DUMMYFUNCTION("""COMPUTED_VALUE"""),"Vox AC30 Head")</f>
        <v>Vox AC30 Head</v>
      </c>
    </row>
    <row r="125">
      <c r="A125" s="9" t="str">
        <f>IFERROR(__xludf.DUMMYFUNCTION("""COMPUTED_VALUE"""),"Cort Travel Acoustic Guitar")</f>
        <v>Cort Travel Acoustic Guitar</v>
      </c>
    </row>
    <row r="126">
      <c r="A126" s="9" t="str">
        <f>IFERROR(__xludf.DUMMYFUNCTION("""COMPUTED_VALUE"""),"Epiphone Casino (Semi Acoustic Electric F hole Black 2000)")</f>
        <v>Epiphone Casino (Semi Acoustic Electric F hole Black 2000)</v>
      </c>
    </row>
    <row r="127">
      <c r="A127" s="9" t="str">
        <f>IFERROR(__xludf.DUMMYFUNCTION("""COMPUTED_VALUE"""),"Fender Squire Stratocaster (Black - Japan 1988)")</f>
        <v>Fender Squire Stratocaster (Black - Japan 1988)</v>
      </c>
    </row>
    <row r="128">
      <c r="A128" s="9" t="str">
        <f>IFERROR(__xludf.DUMMYFUNCTION("""COMPUTED_VALUE"""),"Fender Telecaster (Blond  - American 1983)")</f>
        <v>Fender Telecaster (Blond  - American 1983)</v>
      </c>
    </row>
    <row r="129">
      <c r="A129" s="9" t="str">
        <f>IFERROR(__xludf.DUMMYFUNCTION("""COMPUTED_VALUE"""),"Gretch Country Gentleman (Japan / Reissue George Harrison 2020)")</f>
        <v>Gretch Country Gentleman (Japan / Reissue George Harrison 2020)</v>
      </c>
    </row>
    <row r="130">
      <c r="A130" s="9" t="str">
        <f>IFERROR(__xludf.DUMMYFUNCTION("""COMPUTED_VALUE"""),"K Yari Acoustic (Japan  / with pickup Thinline 1990)")</f>
        <v>K Yari Acoustic (Japan  / with pickup Thinline 1990)</v>
      </c>
    </row>
    <row r="131">
      <c r="A131" s="9" t="str">
        <f>IFERROR(__xludf.DUMMYFUNCTION("""COMPUTED_VALUE"""),"Martin Acoustic D13 (with pickup &amp; tuner Dreadnought 2022)")</f>
        <v>Martin Acoustic D13 (with pickup &amp; tuner Dreadnought 2022)</v>
      </c>
    </row>
    <row r="132">
      <c r="A132" s="9" t="str">
        <f>IFERROR(__xludf.DUMMYFUNCTION("""COMPUTED_VALUE"""),"Yamaha Nylon String (Japan 1975)")</f>
        <v>Yamaha Nylon String (Japan 1975)</v>
      </c>
    </row>
    <row r="133">
      <c r="A133" s="9" t="str">
        <f>IFERROR(__xludf.DUMMYFUNCTION("""COMPUTED_VALUE"""),"Alesis V61 Midi 61 key Controller")</f>
        <v>Alesis V61 Midi 61 key Controller</v>
      </c>
    </row>
    <row r="134">
      <c r="A134" s="9" t="str">
        <f>IFERROR(__xludf.DUMMYFUNCTION("""COMPUTED_VALUE"""),"Casio PS5 Stage Piano/Synth 88 weighted keys")</f>
        <v>Casio PS5 Stage Piano/Synth 88 weighted keys</v>
      </c>
    </row>
    <row r="135">
      <c r="A135" s="9" t="str">
        <f>IFERROR(__xludf.DUMMYFUNCTION("""COMPUTED_VALUE"""),"Edirol Midi 49 key controller")</f>
        <v>Edirol Midi 49 key controller</v>
      </c>
    </row>
    <row r="136">
      <c r="A136" s="9" t="str">
        <f>IFERROR(__xludf.DUMMYFUNCTION("""COMPUTED_VALUE"""),"Nord Electro 6")</f>
        <v>Nord Electro 6</v>
      </c>
    </row>
    <row r="137">
      <c r="A137" s="9" t="str">
        <f>IFERROR(__xludf.DUMMYFUNCTION("""COMPUTED_VALUE"""),"Nord Stage 2 Stage Piano 88 keys weighted")</f>
        <v>Nord Stage 2 Stage Piano 88 keys weighted</v>
      </c>
    </row>
    <row r="138">
      <c r="A138" s="9" t="str">
        <f>IFERROR(__xludf.DUMMYFUNCTION("""COMPUTED_VALUE"""),"Nord Stage 3 Compact")</f>
        <v>Nord Stage 3 Compact</v>
      </c>
    </row>
    <row r="139">
      <c r="A139" s="9" t="str">
        <f>IFERROR(__xludf.DUMMYFUNCTION("""COMPUTED_VALUE"""),"Rhodes Stage Piano")</f>
        <v>Rhodes Stage Piano</v>
      </c>
    </row>
    <row r="140">
      <c r="A140" s="9" t="str">
        <f>IFERROR(__xludf.DUMMYFUNCTION("""COMPUTED_VALUE"""),"Roland RD88 Stage Piano")</f>
        <v>Roland RD88 Stage Piano</v>
      </c>
    </row>
    <row r="141">
      <c r="A141" s="9" t="str">
        <f>IFERROR(__xludf.DUMMYFUNCTION("""COMPUTED_VALUE"""),"Yamaha MOFX8")</f>
        <v>Yamaha MOFX8</v>
      </c>
    </row>
    <row r="142">
      <c r="A142" s="9" t="str">
        <f>IFERROR(__xludf.DUMMYFUNCTION("""COMPUTED_VALUE"""),"Bongos Meinl Headliner")</f>
        <v>Bongos Meinl Headliner</v>
      </c>
    </row>
    <row r="143">
      <c r="A143" s="9" t="str">
        <f>IFERROR(__xludf.DUMMYFUNCTION("""COMPUTED_VALUE"""),"Congas Meinl Headliner 10” &amp; 11”")</f>
        <v>Congas Meinl Headliner 10” &amp; 11”</v>
      </c>
    </row>
    <row r="144">
      <c r="A144" s="9" t="str">
        <f>IFERROR(__xludf.DUMMYFUNCTION("""COMPUTED_VALUE"""),"Tamborines")</f>
        <v>Tamborines</v>
      </c>
    </row>
    <row r="145">
      <c r="A145" s="9" t="str">
        <f>IFERROR(__xludf.DUMMYFUNCTION("""COMPUTED_VALUE"""),"Various Percussion Block, Cow bells etc")</f>
        <v>Various Percussion Block, Cow bells etc</v>
      </c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</sheetData>
  <drawing r:id="rId1"/>
</worksheet>
</file>