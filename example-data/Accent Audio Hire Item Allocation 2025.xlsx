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Accent Audio Inventor" sheetId="1" r:id="rId4"/>
  </sheets>
</workbook>
</file>

<file path=xl/sharedStrings.xml><?xml version="1.0" encoding="utf-8"?>
<sst xmlns="http://schemas.openxmlformats.org/spreadsheetml/2006/main" uniqueCount="255">
  <si>
    <t>Accent PA Hire costs 2nd day @ $50%</t>
  </si>
  <si>
    <t>Item</t>
  </si>
  <si>
    <t>Purchase Date</t>
  </si>
  <si>
    <t>Serial Number</t>
  </si>
  <si>
    <t>Rack tennyson St</t>
  </si>
  <si>
    <t>NF2026 8th March</t>
  </si>
  <si>
    <t>Cuba Dupa 28-29th March</t>
  </si>
  <si>
    <t>Cost L</t>
  </si>
  <si>
    <t>Costs MM</t>
  </si>
  <si>
    <t xml:space="preserve">Quantity </t>
  </si>
  <si>
    <t>Notes</t>
  </si>
  <si>
    <t>Purchase  Cost</t>
  </si>
  <si>
    <t>Hire/day</t>
  </si>
  <si>
    <t>Consoles</t>
  </si>
  <si>
    <t>X32 Compact Console #1</t>
  </si>
  <si>
    <t>Rintoul</t>
  </si>
  <si>
    <t>32/16</t>
  </si>
  <si>
    <t>X32 Compact Console #2</t>
  </si>
  <si>
    <t>X32 Compact Console #3</t>
  </si>
  <si>
    <t>X32 Rack Console #4</t>
  </si>
  <si>
    <t>Constable</t>
  </si>
  <si>
    <t>32/16 Requires Tablet</t>
  </si>
  <si>
    <t>M32 Console # 5</t>
  </si>
  <si>
    <t>Behringer XR16 Digital Mixer</t>
  </si>
  <si>
    <t>16/6 Requires Tablet</t>
  </si>
  <si>
    <t>Allen &amp; Heath Mix Wizard 3</t>
  </si>
  <si>
    <t>Columbo</t>
  </si>
  <si>
    <t>Alto 802 #1 incl FX 1 send</t>
  </si>
  <si>
    <t>Buskers</t>
  </si>
  <si>
    <t>Mackie 12ProFX</t>
  </si>
  <si>
    <t xml:space="preserve">Behringer Flow 8 </t>
  </si>
  <si>
    <t>8/4 Requires Tablet</t>
  </si>
  <si>
    <t xml:space="preserve">Soundcraft Spirit M12 </t>
  </si>
  <si>
    <t>12/2</t>
  </si>
  <si>
    <t>Mackie 2 ch Mixer</t>
  </si>
  <si>
    <t>2/2</t>
  </si>
  <si>
    <t>Digital Stage Boxes</t>
  </si>
  <si>
    <t>S16</t>
  </si>
  <si>
    <t>16/8 ch</t>
  </si>
  <si>
    <t>SD8</t>
  </si>
  <si>
    <t>8/8 ch</t>
  </si>
  <si>
    <t>(X32 Rack Console #4)</t>
  </si>
  <si>
    <t>(Constable)</t>
  </si>
  <si>
    <t>Powered Compact Mixers</t>
  </si>
  <si>
    <t>Behringer PMP960M 400w x 2</t>
  </si>
  <si>
    <t>6/1 ch Powered Mixer</t>
  </si>
  <si>
    <t>Samson Expedition 200w x 2</t>
  </si>
  <si>
    <t>4 ch Powered Mixer</t>
  </si>
  <si>
    <t>Powered Speakers</t>
  </si>
  <si>
    <t>EV ETX 35P 1</t>
  </si>
  <si>
    <t>115556327960630591</t>
  </si>
  <si>
    <t>3 bottom</t>
  </si>
  <si>
    <t>Glover park</t>
  </si>
  <si>
    <t>2000w 3 way / dsp</t>
  </si>
  <si>
    <t xml:space="preserve">EV ETX 35P 2 </t>
  </si>
  <si>
    <t>115556327960630593</t>
  </si>
  <si>
    <t>EV ETX 35P 3</t>
  </si>
  <si>
    <t>115556347355591430</t>
  </si>
  <si>
    <t>2000w 3 way / dip</t>
  </si>
  <si>
    <t>EV ETX 35P 4</t>
  </si>
  <si>
    <t>115556347355591428</t>
  </si>
  <si>
    <t>EV EKX12 1</t>
  </si>
  <si>
    <t>405172785300090012</t>
  </si>
  <si>
    <t>9 bottom</t>
  </si>
  <si>
    <t>1500w 2 way / dsp</t>
  </si>
  <si>
    <t>EV EKX12 2</t>
  </si>
  <si>
    <t>405172785600160002</t>
  </si>
  <si>
    <t>EV EKX12 3</t>
  </si>
  <si>
    <t>405172785600160029</t>
  </si>
  <si>
    <t>EV EKX12 4</t>
  </si>
  <si>
    <t>405172785600160030</t>
  </si>
  <si>
    <t>EV ELX200 1</t>
  </si>
  <si>
    <t>095296013734910003</t>
  </si>
  <si>
    <t>9 top</t>
  </si>
  <si>
    <t>1000w 2 way / dsp</t>
  </si>
  <si>
    <t>EV ELX200 2</t>
  </si>
  <si>
    <t>095296013734910005</t>
  </si>
  <si>
    <t>EV ELX200 3</t>
  </si>
  <si>
    <t>095296075906530044</t>
  </si>
  <si>
    <t>EV ELX200 4</t>
  </si>
  <si>
    <t>095296008008980019</t>
  </si>
  <si>
    <t>EV ZLX 8P G2 1</t>
  </si>
  <si>
    <t>095597144041040041</t>
  </si>
  <si>
    <t>EV ZLX 8P G2 2</t>
  </si>
  <si>
    <t>095597144041040049</t>
  </si>
  <si>
    <t>EV ZLX 8P G2 3</t>
  </si>
  <si>
    <t>095597147950110088</t>
  </si>
  <si>
    <t>EV ZLX 8P G2 4</t>
  </si>
  <si>
    <t>095597147950110089</t>
  </si>
  <si>
    <t>EV ZLX 15P G2 1</t>
  </si>
  <si>
    <t>095598248089950030</t>
  </si>
  <si>
    <t>9 Floor</t>
  </si>
  <si>
    <t>EV EKX 18 Sub 1</t>
  </si>
  <si>
    <t>405173095500110005</t>
  </si>
  <si>
    <t xml:space="preserve">Entrance </t>
  </si>
  <si>
    <t>1500 watt / dsp</t>
  </si>
  <si>
    <t>EV EKX 18 Sub 2</t>
  </si>
  <si>
    <t>405173095300090005</t>
  </si>
  <si>
    <t>EV EKX 18 Sub 3</t>
  </si>
  <si>
    <t>405173004000070006</t>
  </si>
  <si>
    <t>EV EKX 18 Sub 4</t>
  </si>
  <si>
    <t>405173004000070005</t>
  </si>
  <si>
    <t>EV EKX 18 Sub 5</t>
  </si>
  <si>
    <t>405173095500110012</t>
  </si>
  <si>
    <t>EV EKX 18 Sub 6</t>
  </si>
  <si>
    <t>405173027800060097</t>
  </si>
  <si>
    <t>EV EKX 18 Sub 7</t>
  </si>
  <si>
    <t>405173027800060103</t>
  </si>
  <si>
    <t>EV EKX 18 Sub 8</t>
  </si>
  <si>
    <t>405173095300090004</t>
  </si>
  <si>
    <t>QSC K12</t>
  </si>
  <si>
    <t>1000w 2 way</t>
  </si>
  <si>
    <t>QSC K12 Sub no.1</t>
  </si>
  <si>
    <t>1000w</t>
  </si>
  <si>
    <t>QSC K12 Sub no.2</t>
  </si>
  <si>
    <t>JBL Eon10 # 1 full range</t>
  </si>
  <si>
    <t>150w 2 way</t>
  </si>
  <si>
    <t>JBL Eon10 # 2 full range</t>
  </si>
  <si>
    <t>Mackie SRM350-10 full range</t>
  </si>
  <si>
    <t>Mackie SRS1500 Sub #1 15” powered</t>
  </si>
  <si>
    <t>High Quality sub</t>
  </si>
  <si>
    <t>Mackie SRM450 full range</t>
  </si>
  <si>
    <t>Drum Fill</t>
  </si>
  <si>
    <t>Quite old</t>
  </si>
  <si>
    <t>Creeps</t>
  </si>
  <si>
    <t>Passive speakers</t>
  </si>
  <si>
    <t>EV ZLX12 1</t>
  </si>
  <si>
    <t>095798165667230028</t>
  </si>
  <si>
    <t>9 Mid</t>
  </si>
  <si>
    <t>EV ZLX12 7</t>
  </si>
  <si>
    <t>095798165667230029</t>
  </si>
  <si>
    <t>EV ZLX12 4</t>
  </si>
  <si>
    <t>095798175445060015</t>
  </si>
  <si>
    <t>EV ZLX12 5</t>
  </si>
  <si>
    <t>095798175445060012</t>
  </si>
  <si>
    <t>EV ZLX12 3</t>
  </si>
  <si>
    <t>095798175445060039</t>
  </si>
  <si>
    <t>EV ZLX12 6</t>
  </si>
  <si>
    <t>095798175445060038</t>
  </si>
  <si>
    <t>EV ZLX12 2</t>
  </si>
  <si>
    <t>095798175445060046</t>
  </si>
  <si>
    <t>EV ZLX12 8</t>
  </si>
  <si>
    <t>095798175445060014</t>
  </si>
  <si>
    <t>EV ZL1 8” full range 1</t>
  </si>
  <si>
    <t>095750381776660015</t>
  </si>
  <si>
    <t>8 Top inbox</t>
  </si>
  <si>
    <t>EV ZL1 8” full range 2</t>
  </si>
  <si>
    <t>095750345582480030</t>
  </si>
  <si>
    <t>EV ZL1 8” full range 3</t>
  </si>
  <si>
    <t>095750382092090055</t>
  </si>
  <si>
    <t>EV ZL1 8” full range 4</t>
  </si>
  <si>
    <t>095750382013990022</t>
  </si>
  <si>
    <t>Citronic 8” Full range</t>
  </si>
  <si>
    <t>Mackie Passive 10”</t>
  </si>
  <si>
    <t>15/2” Mackie Passive</t>
  </si>
  <si>
    <t>Mid/hi bi amped</t>
  </si>
  <si>
    <t>Citronic 2 x18” Sub</t>
  </si>
  <si>
    <t>Passive</t>
  </si>
  <si>
    <t>Vox Column 2 x10 + Horn</t>
  </si>
  <si>
    <t>recond with Mackie Drivers &amp; new crossover</t>
  </si>
  <si>
    <t xml:space="preserve">Mackie 15” SW1500 Sub </t>
  </si>
  <si>
    <t>recond Eminence driver</t>
  </si>
  <si>
    <t>Battery PA Speakers</t>
  </si>
  <si>
    <t xml:space="preserve">Digitech </t>
  </si>
  <si>
    <t>Behr. MPA40</t>
  </si>
  <si>
    <t>JBL 310 Party Box</t>
  </si>
  <si>
    <t>Trolley PA</t>
  </si>
  <si>
    <t>PA Amps</t>
  </si>
  <si>
    <t>AV 100w rack Amp</t>
  </si>
  <si>
    <t>Studio amp</t>
  </si>
  <si>
    <t>iTech4000</t>
  </si>
  <si>
    <t>400wx2</t>
  </si>
  <si>
    <t>iNuke 12000</t>
  </si>
  <si>
    <t>4000w x 2</t>
  </si>
  <si>
    <t>Crown 4002</t>
  </si>
  <si>
    <t>2000w x 2</t>
  </si>
  <si>
    <t>Crown 1002</t>
  </si>
  <si>
    <t>1000w x 2</t>
  </si>
  <si>
    <t>Mackie 1400</t>
  </si>
  <si>
    <t>500w x 2</t>
  </si>
  <si>
    <t>Crown XLS202</t>
  </si>
  <si>
    <t>200w x 2</t>
  </si>
  <si>
    <t>Behr. NX4 6000 4 ch</t>
  </si>
  <si>
    <t>300w x 4</t>
  </si>
  <si>
    <t>Behr. NU4 6000 4 ch</t>
  </si>
  <si>
    <t>Rack Gear</t>
  </si>
  <si>
    <t>Dbx Drive Rack</t>
  </si>
  <si>
    <t>DBX Compressor</t>
  </si>
  <si>
    <t>2 available</t>
  </si>
  <si>
    <t xml:space="preserve">Warwick Bass pre-amp </t>
  </si>
  <si>
    <t>DBX 31 band EQ</t>
  </si>
  <si>
    <t>Lexicon FX unit</t>
  </si>
  <si>
    <t>IEM</t>
  </si>
  <si>
    <t>Sennheiser G4 IEM</t>
  </si>
  <si>
    <t>Stereo</t>
  </si>
  <si>
    <t>Smart Acoustics SC250</t>
  </si>
  <si>
    <t xml:space="preserve">FM Transmitter </t>
  </si>
  <si>
    <t>5th-22nd June</t>
  </si>
  <si>
    <t>Tech labour / date MM 2025</t>
  </si>
  <si>
    <t>Crew</t>
  </si>
  <si>
    <t>Who  / times</t>
  </si>
  <si>
    <t>Hrs</t>
  </si>
  <si>
    <t>$/hr</t>
  </si>
  <si>
    <t>Thursday</t>
  </si>
  <si>
    <t>Morteza 11am-10pm</t>
  </si>
  <si>
    <t>Friday</t>
  </si>
  <si>
    <t>No Audio required</t>
  </si>
  <si>
    <t>Sat</t>
  </si>
  <si>
    <t xml:space="preserve">Morteza / postponed 4hr </t>
  </si>
  <si>
    <t>Sun</t>
  </si>
  <si>
    <t>Morteza 1:30pm-10:30pm</t>
  </si>
  <si>
    <t xml:space="preserve">Sat </t>
  </si>
  <si>
    <t>Poncho 2pm - 10:30pm</t>
  </si>
  <si>
    <t xml:space="preserve">Thursday </t>
  </si>
  <si>
    <t>Morteza 11am-3pm</t>
  </si>
  <si>
    <t>Fri</t>
  </si>
  <si>
    <t>Morteza 2pm-6pm</t>
  </si>
  <si>
    <t>Poncho 12-4pm</t>
  </si>
  <si>
    <t>Event Admin</t>
  </si>
  <si>
    <t>1/6/2025 - 24/6/25</t>
  </si>
  <si>
    <t>Monday (Packout)</t>
  </si>
  <si>
    <t>Morteza</t>
  </si>
  <si>
    <t>Lagoon Fee Streamliner</t>
  </si>
  <si>
    <t>Total Lagoon &amp; MM2025+GST</t>
  </si>
  <si>
    <t>Margin+GST</t>
  </si>
  <si>
    <t>Morteza Hours &amp; Payment</t>
  </si>
  <si>
    <t>Tech labour / date</t>
  </si>
  <si>
    <t>$</t>
  </si>
  <si>
    <t>Thursday 5/06/2025</t>
  </si>
  <si>
    <t>11am-10pm</t>
  </si>
  <si>
    <t>Friday 6/06/2025</t>
  </si>
  <si>
    <t>Sat 7/06/2025</t>
  </si>
  <si>
    <t xml:space="preserve">Postponed 4hr </t>
  </si>
  <si>
    <t>Sun 8/06/2025</t>
  </si>
  <si>
    <t>1:30pm-10:30pm</t>
  </si>
  <si>
    <t>Mataraki Week</t>
  </si>
  <si>
    <t>Tuesday 17/6/25</t>
  </si>
  <si>
    <t>12pm - 6pm</t>
  </si>
  <si>
    <t>Wednesday 18/06/25</t>
  </si>
  <si>
    <t>10am - 6pm</t>
  </si>
  <si>
    <t>Thursday 19/06/2025</t>
  </si>
  <si>
    <t>11am-3pm</t>
  </si>
  <si>
    <t>Fri 20/06/2025</t>
  </si>
  <si>
    <t>2pm-6pm</t>
  </si>
  <si>
    <t>Sat 21/06/2025</t>
  </si>
  <si>
    <t>Sun 22/06/2025</t>
  </si>
  <si>
    <t xml:space="preserve">Not available </t>
  </si>
  <si>
    <t>Monday (Packout) 23/06/2025</t>
  </si>
  <si>
    <t>10am - 2pm</t>
  </si>
  <si>
    <t>Gross Payment before tax +GST</t>
  </si>
  <si>
    <t xml:space="preserve">Matariki WCC </t>
  </si>
  <si>
    <t>Morteza 11am - 6pm</t>
  </si>
  <si>
    <t>Morteza 11am - 3pm Poncho 4pm - 11pm Pat 4pm - 11pm</t>
  </si>
  <si>
    <t>Poncho 4pm - 11pm Pat 4pm - 11pm</t>
  </si>
  <si>
    <t xml:space="preserve">Poncho 4pm - 12am Pat 4pm - 11pm </t>
  </si>
</sst>
</file>

<file path=xl/styles.xml><?xml version="1.0" encoding="utf-8"?>
<styleSheet xmlns="http://schemas.openxmlformats.org/spreadsheetml/2006/main">
  <numFmts count="5">
    <numFmt numFmtId="0" formatCode="General"/>
    <numFmt numFmtId="59" formatCode="&quot;$&quot;#,##0.00"/>
    <numFmt numFmtId="60" formatCode="d/m"/>
    <numFmt numFmtId="61" formatCode="d/m/yy"/>
    <numFmt numFmtId="62" formatCode="d/mm/yyyy"/>
  </numFmts>
  <fonts count="7">
    <font>
      <sz val="10"/>
      <color indexed="8"/>
      <name val="Helvetica"/>
    </font>
    <font>
      <sz val="12"/>
      <color indexed="8"/>
      <name val="Helvetica"/>
    </font>
    <font>
      <sz val="13"/>
      <color indexed="8"/>
      <name val="Helvetica"/>
    </font>
    <font>
      <b val="1"/>
      <sz val="12"/>
      <color indexed="8"/>
      <name val="Helvetica"/>
    </font>
    <font>
      <sz val="12"/>
      <color indexed="13"/>
      <name val="Helvetica"/>
    </font>
    <font>
      <sz val="12"/>
      <color indexed="14"/>
      <name val="Helvetica"/>
    </font>
    <font>
      <i val="1"/>
      <sz val="12"/>
      <color indexed="8"/>
      <name val="Helvetica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/>
      <diagonal/>
    </border>
    <border>
      <left style="thin">
        <color indexed="10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/>
      <diagonal/>
    </border>
    <border>
      <left style="thin">
        <color indexed="12"/>
      </left>
      <right style="thin">
        <color indexed="11"/>
      </right>
      <top/>
      <bottom/>
      <diagonal/>
    </border>
    <border>
      <left style="thin">
        <color indexed="12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2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2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2"/>
      </left>
      <right/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/>
      <bottom/>
      <diagonal/>
    </border>
    <border>
      <left style="thin">
        <color indexed="10"/>
      </left>
      <right/>
      <top style="thin">
        <color indexed="11"/>
      </top>
      <bottom/>
      <diagonal/>
    </border>
    <border>
      <left style="thin">
        <color indexed="10"/>
      </left>
      <right/>
      <top/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/>
      <bottom/>
      <diagonal/>
    </border>
    <border>
      <left style="thin">
        <color indexed="10"/>
      </left>
      <right/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top" wrapText="1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borderId="4" applyNumberFormat="1" applyFont="1" applyFill="0" applyBorder="1" applyAlignment="1" applyProtection="0">
      <alignment horizontal="left" vertical="top" wrapText="1"/>
    </xf>
    <xf numFmtId="49" fontId="3" fillId="2" borderId="4" applyNumberFormat="1" applyFont="1" applyFill="1" applyBorder="1" applyAlignment="1" applyProtection="0">
      <alignment vertical="top" wrapText="1"/>
    </xf>
    <xf numFmtId="49" fontId="3" borderId="4" applyNumberFormat="1" applyFont="1" applyFill="0" applyBorder="1" applyAlignment="1" applyProtection="0">
      <alignment vertical="top" wrapText="1"/>
    </xf>
    <xf numFmtId="49" fontId="3" borderId="4" applyNumberFormat="1" applyFont="1" applyFill="0" applyBorder="1" applyAlignment="1" applyProtection="0">
      <alignment horizontal="center" vertical="top" wrapText="1"/>
    </xf>
    <xf numFmtId="49" fontId="3" fillId="2" borderId="4" applyNumberFormat="1" applyFont="1" applyFill="1" applyBorder="1" applyAlignment="1" applyProtection="0">
      <alignment horizontal="center" vertical="top" wrapText="1"/>
    </xf>
    <xf numFmtId="49" fontId="3" borderId="5" applyNumberFormat="1" applyFont="1" applyFill="0" applyBorder="1" applyAlignment="1" applyProtection="0">
      <alignment horizontal="left" vertical="top" wrapText="1"/>
    </xf>
    <xf numFmtId="0" fontId="1" fillId="2" borderId="5" applyNumberFormat="0" applyFont="1" applyFill="1" applyBorder="1" applyAlignment="1" applyProtection="0">
      <alignment vertical="top" wrapText="1"/>
    </xf>
    <xf numFmtId="49" fontId="1" fillId="2" borderId="5" applyNumberFormat="1" applyFont="1" applyFill="1" applyBorder="1" applyAlignment="1" applyProtection="0">
      <alignment horizontal="left" vertical="top" wrapText="1"/>
    </xf>
    <xf numFmtId="0" fontId="1" fillId="2" borderId="5" applyNumberFormat="0" applyFont="1" applyFill="1" applyBorder="1" applyAlignment="1" applyProtection="0">
      <alignment horizontal="center" vertical="top" wrapText="1"/>
    </xf>
    <xf numFmtId="49" fontId="1" borderId="6" applyNumberFormat="1" applyFont="1" applyFill="0" applyBorder="1" applyAlignment="1" applyProtection="0">
      <alignment horizontal="left" vertical="top" wrapText="1"/>
    </xf>
    <xf numFmtId="0" fontId="1" fillId="2" borderId="6" applyNumberFormat="0" applyFont="1" applyFill="1" applyBorder="1" applyAlignment="1" applyProtection="0">
      <alignment vertical="top" wrapText="1"/>
    </xf>
    <xf numFmtId="49" fontId="1" fillId="2" borderId="6" applyNumberFormat="1" applyFont="1" applyFill="1" applyBorder="1" applyAlignment="1" applyProtection="0">
      <alignment vertical="top" wrapText="1"/>
    </xf>
    <xf numFmtId="0" fontId="1" fillId="2" borderId="6" applyNumberFormat="1" applyFont="1" applyFill="1" applyBorder="1" applyAlignment="1" applyProtection="0">
      <alignment vertical="top" wrapText="1"/>
    </xf>
    <xf numFmtId="49" fontId="1" fillId="2" borderId="6" applyNumberFormat="1" applyFont="1" applyFill="1" applyBorder="1" applyAlignment="1" applyProtection="0">
      <alignment horizontal="left" vertical="top" wrapText="1"/>
    </xf>
    <xf numFmtId="59" fontId="1" fillId="2" borderId="6" applyNumberFormat="1" applyFont="1" applyFill="1" applyBorder="1" applyAlignment="1" applyProtection="0">
      <alignment horizontal="center" vertical="top" wrapText="1"/>
    </xf>
    <xf numFmtId="0" fontId="0" fillId="2" borderId="6" applyNumberFormat="0" applyFont="1" applyFill="1" applyBorder="1" applyAlignment="1" applyProtection="0">
      <alignment vertical="top" wrapText="1"/>
    </xf>
    <xf numFmtId="49" fontId="1" borderId="7" applyNumberFormat="1" applyFont="1" applyFill="0" applyBorder="1" applyAlignment="1" applyProtection="0">
      <alignment horizontal="left" vertical="top" wrapText="1"/>
    </xf>
    <xf numFmtId="0" fontId="1" fillId="2" borderId="8" applyNumberFormat="0" applyFont="1" applyFill="1" applyBorder="1" applyAlignment="1" applyProtection="0">
      <alignment vertical="top" wrapText="1"/>
    </xf>
    <xf numFmtId="60" fontId="1" fillId="2" borderId="6" applyNumberFormat="1" applyFont="1" applyFill="1" applyBorder="1" applyAlignment="1" applyProtection="0">
      <alignment horizontal="left" vertical="top" wrapText="1"/>
    </xf>
    <xf numFmtId="49" fontId="1" fillId="2" borderId="9" applyNumberFormat="1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61" fontId="1" fillId="2" borderId="6" applyNumberFormat="1" applyFont="1" applyFill="1" applyBorder="1" applyAlignment="1" applyProtection="0">
      <alignment vertical="top" wrapText="1"/>
    </xf>
    <xf numFmtId="0" fontId="1" fillId="2" borderId="6" applyNumberFormat="0" applyFont="1" applyFill="1" applyBorder="1" applyAlignment="1" applyProtection="0">
      <alignment horizontal="left" vertical="top" wrapText="1"/>
    </xf>
    <xf numFmtId="49" fontId="1" borderId="11" applyNumberFormat="1" applyFont="1" applyFill="0" applyBorder="1" applyAlignment="1" applyProtection="0">
      <alignment horizontal="left" vertical="top" wrapText="1"/>
    </xf>
    <xf numFmtId="49" fontId="1" borderId="12" applyNumberFormat="1" applyFont="1" applyFill="0" applyBorder="1" applyAlignment="1" applyProtection="0">
      <alignment horizontal="left" vertical="top" wrapText="1"/>
    </xf>
    <xf numFmtId="49" fontId="3" fillId="2" borderId="6" applyNumberFormat="1" applyFont="1" applyFill="1" applyBorder="1" applyAlignment="1" applyProtection="0">
      <alignment horizontal="left" vertical="top" wrapText="1"/>
    </xf>
    <xf numFmtId="49" fontId="1" fillId="2" borderId="7" applyNumberFormat="1" applyFont="1" applyFill="1" applyBorder="1" applyAlignment="1" applyProtection="0">
      <alignment horizontal="left" vertical="top" wrapText="1"/>
    </xf>
    <xf numFmtId="0" fontId="1" borderId="6" applyNumberFormat="0" applyFont="1" applyFill="0" applyBorder="1" applyAlignment="1" applyProtection="0">
      <alignment vertical="top" wrapText="1"/>
    </xf>
    <xf numFmtId="49" fontId="3" borderId="6" applyNumberFormat="1" applyFont="1" applyFill="0" applyBorder="1" applyAlignment="1" applyProtection="0">
      <alignment horizontal="left" vertical="top" wrapText="1"/>
    </xf>
    <xf numFmtId="49" fontId="4" borderId="6" applyNumberFormat="1" applyFont="1" applyFill="0" applyBorder="1" applyAlignment="1" applyProtection="0">
      <alignment horizontal="left" vertical="top" wrapText="1"/>
    </xf>
    <xf numFmtId="49" fontId="5" fillId="2" borderId="6" applyNumberFormat="1" applyFont="1" applyFill="1" applyBorder="1" applyAlignment="1" applyProtection="0">
      <alignment vertical="top" wrapText="1"/>
    </xf>
    <xf numFmtId="0" fontId="0" fillId="2" borderId="13" applyNumberFormat="0" applyFont="1" applyFill="1" applyBorder="1" applyAlignment="1" applyProtection="0">
      <alignment vertical="top" wrapText="1"/>
    </xf>
    <xf numFmtId="0" fontId="0" fillId="2" borderId="14" applyNumberFormat="0" applyFont="1" applyFill="1" applyBorder="1" applyAlignment="1" applyProtection="0">
      <alignment vertical="top" wrapText="1"/>
    </xf>
    <xf numFmtId="0" fontId="0" fillId="2" borderId="15" applyNumberFormat="0" applyFont="1" applyFill="1" applyBorder="1" applyAlignment="1" applyProtection="0">
      <alignment vertical="top" wrapText="1"/>
    </xf>
    <xf numFmtId="49" fontId="4" fillId="2" borderId="6" applyNumberFormat="1" applyFont="1" applyFill="1" applyBorder="1" applyAlignment="1" applyProtection="0">
      <alignment horizontal="left" vertical="top" wrapText="1"/>
    </xf>
    <xf numFmtId="49" fontId="1" fillId="2" borderId="13" applyNumberFormat="1" applyFont="1" applyFill="1" applyBorder="1" applyAlignment="1" applyProtection="0">
      <alignment vertical="top" wrapText="1"/>
    </xf>
    <xf numFmtId="49" fontId="1" fillId="2" borderId="15" applyNumberFormat="1" applyFont="1" applyFill="1" applyBorder="1" applyAlignment="1" applyProtection="0">
      <alignment vertical="top" wrapText="1"/>
    </xf>
    <xf numFmtId="49" fontId="5" borderId="7" applyNumberFormat="1" applyFont="1" applyFill="0" applyBorder="1" applyAlignment="1" applyProtection="0">
      <alignment horizontal="left" vertical="top" wrapText="1"/>
    </xf>
    <xf numFmtId="62" fontId="1" fillId="2" borderId="16" applyNumberFormat="1" applyFont="1" applyFill="1" applyBorder="1" applyAlignment="1" applyProtection="0">
      <alignment vertical="top" wrapText="1"/>
    </xf>
    <xf numFmtId="49" fontId="5" fillId="2" borderId="7" applyNumberFormat="1" applyFont="1" applyFill="1" applyBorder="1" applyAlignment="1" applyProtection="0">
      <alignment horizontal="left" vertical="top" wrapText="1"/>
    </xf>
    <xf numFmtId="62" fontId="1" fillId="2" borderId="17" applyNumberFormat="1" applyFont="1" applyFill="1" applyBorder="1" applyAlignment="1" applyProtection="0">
      <alignment vertical="top" wrapText="1"/>
    </xf>
    <xf numFmtId="62" fontId="1" fillId="2" borderId="18" applyNumberFormat="1" applyFont="1" applyFill="1" applyBorder="1" applyAlignment="1" applyProtection="0">
      <alignment vertical="top" wrapText="1"/>
    </xf>
    <xf numFmtId="49" fontId="5" fillId="2" borderId="6" applyNumberFormat="1" applyFont="1" applyFill="1" applyBorder="1" applyAlignment="1" applyProtection="0">
      <alignment horizontal="left" vertical="top" wrapText="1"/>
    </xf>
    <xf numFmtId="49" fontId="5" borderId="6" applyNumberFormat="1" applyFont="1" applyFill="0" applyBorder="1" applyAlignment="1" applyProtection="0">
      <alignment horizontal="left" vertical="top" wrapText="1"/>
    </xf>
    <xf numFmtId="0" fontId="6" fillId="2" borderId="6" applyNumberFormat="0" applyFont="1" applyFill="1" applyBorder="1" applyAlignment="1" applyProtection="0">
      <alignment vertical="top" wrapText="1"/>
    </xf>
    <xf numFmtId="0" fontId="0" fillId="2" borderId="19" applyNumberFormat="0" applyFont="1" applyFill="1" applyBorder="1" applyAlignment="1" applyProtection="0">
      <alignment vertical="top" wrapText="1"/>
    </xf>
    <xf numFmtId="0" fontId="0" fillId="2" borderId="20" applyNumberFormat="0" applyFont="1" applyFill="1" applyBorder="1" applyAlignment="1" applyProtection="0">
      <alignment vertical="top" wrapText="1"/>
    </xf>
    <xf numFmtId="0" fontId="0" fillId="2" borderId="21" applyNumberFormat="0" applyFont="1" applyFill="1" applyBorder="1" applyAlignment="1" applyProtection="0">
      <alignment vertical="top" wrapText="1"/>
    </xf>
    <xf numFmtId="0" fontId="0" fillId="2" borderId="22" applyNumberFormat="0" applyFont="1" applyFill="1" applyBorder="1" applyAlignment="1" applyProtection="0">
      <alignment vertical="top" wrapText="1"/>
    </xf>
    <xf numFmtId="0" fontId="0" fillId="2" borderId="23" applyNumberFormat="0" applyFont="1" applyFill="1" applyBorder="1" applyAlignment="1" applyProtection="0">
      <alignment vertical="top" wrapText="1"/>
    </xf>
    <xf numFmtId="0" fontId="0" fillId="2" borderId="24" applyNumberFormat="0" applyFont="1" applyFill="1" applyBorder="1" applyAlignment="1" applyProtection="0">
      <alignment vertical="top" wrapText="1"/>
    </xf>
    <xf numFmtId="49" fontId="1" borderId="6" applyNumberFormat="1" applyFont="1" applyFill="0" applyBorder="1" applyAlignment="1" applyProtection="0">
      <alignment vertical="top" wrapText="1"/>
    </xf>
    <xf numFmtId="0" fontId="0" fillId="2" borderId="25" applyNumberFormat="0" applyFont="1" applyFill="1" applyBorder="1" applyAlignment="1" applyProtection="0">
      <alignment vertical="top" wrapText="1"/>
    </xf>
    <xf numFmtId="0" fontId="0" fillId="2" borderId="26" applyNumberFormat="0" applyFont="1" applyFill="1" applyBorder="1" applyAlignment="1" applyProtection="0">
      <alignment vertical="top" wrapText="1"/>
    </xf>
    <xf numFmtId="0" fontId="0" fillId="2" borderId="27" applyNumberFormat="0" applyFont="1" applyFill="1" applyBorder="1" applyAlignment="1" applyProtection="0">
      <alignment vertical="top" wrapText="1"/>
    </xf>
    <xf numFmtId="0" fontId="0" fillId="2" borderId="28" applyNumberFormat="0" applyFont="1" applyFill="1" applyBorder="1" applyAlignment="1" applyProtection="0">
      <alignment vertical="top" wrapText="1"/>
    </xf>
    <xf numFmtId="0" fontId="0" fillId="2" borderId="29" applyNumberFormat="0" applyFont="1" applyFill="1" applyBorder="1" applyAlignment="1" applyProtection="0">
      <alignment vertical="top" wrapText="1"/>
    </xf>
    <xf numFmtId="49" fontId="3" borderId="6" applyNumberFormat="1" applyFont="1" applyFill="0" applyBorder="1" applyAlignment="1" applyProtection="0">
      <alignment vertical="top" wrapText="1"/>
    </xf>
    <xf numFmtId="0" fontId="1" borderId="7" applyNumberFormat="0" applyFont="1" applyFill="0" applyBorder="1" applyAlignment="1" applyProtection="0">
      <alignment horizontal="left" vertical="top" wrapText="1"/>
    </xf>
    <xf numFmtId="0" fontId="1" fillId="2" borderId="30" applyNumberFormat="0" applyFont="1" applyFill="1" applyBorder="1" applyAlignment="1" applyProtection="0">
      <alignment vertical="top" wrapText="1"/>
    </xf>
    <xf numFmtId="0" fontId="1" fillId="2" borderId="29" applyNumberFormat="0" applyFont="1" applyFill="1" applyBorder="1" applyAlignment="1" applyProtection="0">
      <alignment vertical="top" wrapText="1"/>
    </xf>
    <xf numFmtId="0" fontId="1" fillId="2" borderId="10" applyNumberFormat="0" applyFont="1" applyFill="1" applyBorder="1" applyAlignment="1" applyProtection="0">
      <alignment vertical="top" wrapText="1"/>
    </xf>
    <xf numFmtId="49" fontId="1" borderId="11" applyNumberFormat="1" applyFont="1" applyFill="0" applyBorder="1" applyAlignment="1" applyProtection="0">
      <alignment vertical="top" wrapText="1"/>
    </xf>
    <xf numFmtId="49" fontId="1" borderId="31" applyNumberFormat="1" applyFont="1" applyFill="0" applyBorder="1" applyAlignment="1" applyProtection="0">
      <alignment vertical="top" wrapText="1"/>
    </xf>
    <xf numFmtId="49" fontId="1" borderId="12" applyNumberFormat="1" applyFont="1" applyFill="0" applyBorder="1" applyAlignment="1" applyProtection="0">
      <alignment vertical="top" wrapText="1"/>
    </xf>
    <xf numFmtId="0" fontId="1" fillId="2" borderId="6" applyNumberFormat="0" applyFont="1" applyFill="1" applyBorder="1" applyAlignment="1" applyProtection="0">
      <alignment horizontal="center" vertical="top" wrapText="1"/>
    </xf>
    <xf numFmtId="49" fontId="3" fillId="2" borderId="6" applyNumberFormat="1" applyFont="1" applyFill="1" applyBorder="1" applyAlignment="1" applyProtection="0">
      <alignment vertical="top" wrapText="1"/>
    </xf>
    <xf numFmtId="49" fontId="3" fillId="2" borderId="6" applyNumberFormat="1" applyFont="1" applyFill="1" applyBorder="1" applyAlignment="1" applyProtection="0">
      <alignment horizontal="center" vertical="top" wrapText="1"/>
    </xf>
    <xf numFmtId="0" fontId="0" fillId="2" borderId="13" applyNumberFormat="1" applyFont="1" applyFill="1" applyBorder="1" applyAlignment="1" applyProtection="0">
      <alignment horizontal="center" vertical="top" wrapText="1"/>
    </xf>
    <xf numFmtId="0" fontId="1" fillId="2" borderId="6" applyNumberFormat="1" applyFont="1" applyFill="1" applyBorder="1" applyAlignment="1" applyProtection="0">
      <alignment horizontal="center" vertical="top" wrapText="1"/>
    </xf>
    <xf numFmtId="0" fontId="0" fillId="2" borderId="9" applyNumberFormat="0" applyFont="1" applyFill="1" applyBorder="1" applyAlignment="1" applyProtection="0">
      <alignment vertical="top" wrapText="1"/>
    </xf>
    <xf numFmtId="49" fontId="1" fillId="2" borderId="29" applyNumberFormat="1" applyFont="1" applyFill="1" applyBorder="1" applyAlignment="1" applyProtection="0">
      <alignment vertical="top" wrapText="1"/>
    </xf>
    <xf numFmtId="0" fontId="1" fillId="2" borderId="28" applyNumberFormat="1" applyFont="1" applyFill="1" applyBorder="1" applyAlignment="1" applyProtection="0">
      <alignment horizontal="center" vertical="top" wrapText="1"/>
    </xf>
    <xf numFmtId="0" fontId="1" fillId="2" borderId="10" applyNumberFormat="1" applyFont="1" applyFill="1" applyBorder="1" applyAlignment="1" applyProtection="0">
      <alignment horizontal="center" vertical="top" wrapText="1"/>
    </xf>
    <xf numFmtId="62" fontId="1" fillId="2" borderId="6" applyNumberFormat="1" applyFont="1" applyFill="1" applyBorder="1" applyAlignment="1" applyProtection="0">
      <alignment vertical="top" wrapText="1"/>
    </xf>
    <xf numFmtId="49" fontId="1" fillId="2" borderId="32" applyNumberFormat="1" applyFont="1" applyFill="1" applyBorder="1" applyAlignment="1" applyProtection="0">
      <alignment vertical="top" wrapText="1"/>
    </xf>
    <xf numFmtId="0" fontId="1" fillId="2" borderId="26" applyNumberFormat="0" applyFont="1" applyFill="1" applyBorder="1" applyAlignment="1" applyProtection="0">
      <alignment vertical="top" wrapText="1"/>
    </xf>
    <xf numFmtId="0" fontId="1" fillId="2" borderId="20" applyNumberFormat="0" applyFont="1" applyFill="1" applyBorder="1" applyAlignment="1" applyProtection="0">
      <alignment vertical="top" wrapText="1"/>
    </xf>
    <xf numFmtId="0" fontId="1" fillId="2" borderId="19" applyNumberFormat="0" applyFont="1" applyFill="1" applyBorder="1" applyAlignment="1" applyProtection="0">
      <alignment vertical="top" wrapText="1"/>
    </xf>
    <xf numFmtId="0" fontId="1" fillId="2" borderId="20" applyNumberFormat="1" applyFont="1" applyFill="1" applyBorder="1" applyAlignment="1" applyProtection="0">
      <alignment vertical="top" wrapText="1"/>
    </xf>
    <xf numFmtId="49" fontId="1" fillId="2" borderId="33" applyNumberFormat="1" applyFont="1" applyFill="1" applyBorder="1" applyAlignment="1" applyProtection="0">
      <alignment vertical="top" wrapText="1"/>
    </xf>
    <xf numFmtId="0" fontId="1" fillId="2" borderId="28" applyNumberFormat="0" applyFont="1" applyFill="1" applyBorder="1" applyAlignment="1" applyProtection="0">
      <alignment vertical="top" wrapText="1"/>
    </xf>
    <xf numFmtId="62" fontId="1" fillId="2" borderId="29" applyNumberFormat="1" applyFont="1" applyFill="1" applyBorder="1" applyAlignment="1" applyProtection="0">
      <alignment vertical="top" wrapText="1"/>
    </xf>
    <xf numFmtId="0" fontId="1" fillId="2" borderId="24" applyNumberFormat="1" applyFont="1" applyFill="1" applyBorder="1" applyAlignment="1" applyProtection="0">
      <alignment vertical="top" wrapText="1"/>
    </xf>
    <xf numFmtId="0" fontId="1" fillId="2" borderId="9" applyNumberFormat="0" applyFont="1" applyFill="1" applyBorder="1" applyAlignment="1" applyProtection="0">
      <alignment vertical="top" wrapText="1"/>
    </xf>
    <xf numFmtId="49" fontId="1" fillId="2" borderId="10" applyNumberFormat="1" applyFont="1" applyFill="1" applyBorder="1" applyAlignment="1" applyProtection="0">
      <alignment vertical="top" wrapText="1"/>
    </xf>
    <xf numFmtId="0" fontId="0" fillId="2" borderId="34" applyNumberFormat="0" applyFont="1" applyFill="1" applyBorder="1" applyAlignment="1" applyProtection="0">
      <alignment vertical="top" wrapText="1"/>
    </xf>
    <xf numFmtId="59" fontId="1" fillId="2" borderId="6" applyNumberFormat="1" applyFont="1" applyFill="1" applyBorder="1" applyAlignment="1" applyProtection="0">
      <alignment vertical="top" wrapText="1"/>
    </xf>
    <xf numFmtId="59" fontId="3" fillId="2" borderId="6" applyNumberFormat="1" applyFont="1" applyFill="1" applyBorder="1" applyAlignment="1" applyProtection="0">
      <alignment vertical="top" wrapText="1"/>
    </xf>
    <xf numFmtId="0" fontId="3" fillId="2" borderId="6" applyNumberFormat="0" applyFont="1" applyFill="1" applyBorder="1" applyAlignment="1" applyProtection="0">
      <alignment horizontal="left" vertical="top" wrapText="1"/>
    </xf>
    <xf numFmtId="0" fontId="3" fillId="2" borderId="6" applyNumberFormat="0" applyFont="1" applyFill="1" applyBorder="1" applyAlignment="1" applyProtection="0">
      <alignment horizontal="center" vertical="top" wrapText="1"/>
    </xf>
    <xf numFmtId="0" fontId="0" fillId="2" borderId="35" applyNumberFormat="0" applyFont="1" applyFill="1" applyBorder="1" applyAlignment="1" applyProtection="0">
      <alignment vertical="top" wrapText="1"/>
    </xf>
    <xf numFmtId="0" fontId="1" fillId="2" borderId="24" applyNumberFormat="1" applyFont="1" applyFill="1" applyBorder="1" applyAlignment="1" applyProtection="0">
      <alignment horizontal="center" vertical="top" wrapText="1"/>
    </xf>
    <xf numFmtId="49" fontId="3" fillId="2" borderId="32" applyNumberFormat="1" applyFont="1" applyFill="1" applyBorder="1" applyAlignment="1" applyProtection="0">
      <alignment vertical="top" wrapText="1"/>
    </xf>
    <xf numFmtId="59" fontId="0" fillId="2" borderId="29" applyNumberFormat="1" applyFont="1" applyFill="1" applyBorder="1" applyAlignment="1" applyProtection="0">
      <alignment horizontal="center" vertical="top" wrapText="1"/>
    </xf>
    <xf numFmtId="49" fontId="1" fillId="2" borderId="31" applyNumberFormat="1" applyFont="1" applyFill="1" applyBorder="1" applyAlignment="1" applyProtection="0">
      <alignment vertical="top" wrapText="1"/>
    </xf>
    <xf numFmtId="0" fontId="1" fillId="2" borderId="21" applyNumberFormat="0" applyFont="1" applyFill="1" applyBorder="1" applyAlignment="1" applyProtection="0">
      <alignment vertical="top" wrapText="1"/>
    </xf>
    <xf numFmtId="49" fontId="1" fillId="2" borderId="35" applyNumberFormat="1" applyFont="1" applyFill="1" applyBorder="1" applyAlignment="1" applyProtection="0">
      <alignment vertical="top" wrapText="1"/>
    </xf>
    <xf numFmtId="0" fontId="1" fillId="2" borderId="22" applyNumberFormat="1" applyFont="1" applyFill="1" applyBorder="1" applyAlignment="1" applyProtection="0">
      <alignment horizontal="center" vertical="top" wrapText="1"/>
    </xf>
    <xf numFmtId="0" fontId="1" fillId="2" borderId="23" applyNumberFormat="0" applyFont="1" applyFill="1" applyBorder="1" applyAlignment="1" applyProtection="0">
      <alignment vertical="top" wrapText="1"/>
    </xf>
    <xf numFmtId="49" fontId="1" fillId="2" borderId="28" applyNumberFormat="1" applyFont="1" applyFill="1" applyBorder="1" applyAlignment="1" applyProtection="0">
      <alignment vertical="top" wrapText="1"/>
    </xf>
    <xf numFmtId="49" fontId="1" fillId="2" borderId="12" applyNumberFormat="1" applyFont="1" applyFill="1" applyBorder="1" applyAlignment="1" applyProtection="0">
      <alignment vertical="top" wrapText="1"/>
    </xf>
    <xf numFmtId="0" fontId="0" fillId="2" borderId="36" applyNumberFormat="0" applyFont="1" applyFill="1" applyBorder="1" applyAlignment="1" applyProtection="0">
      <alignment vertical="top" wrapText="1"/>
    </xf>
    <xf numFmtId="59" fontId="0" fillId="2" borderId="26" applyNumberFormat="1" applyFont="1" applyFill="1" applyBorder="1" applyAlignment="1" applyProtection="0">
      <alignment horizontal="center" vertical="top" wrapText="1"/>
    </xf>
    <xf numFmtId="0" fontId="0" fillId="2" borderId="26" applyNumberFormat="1" applyFont="1" applyFill="1" applyBorder="1" applyAlignment="1" applyProtection="0">
      <alignment vertical="top" wrapText="1"/>
    </xf>
    <xf numFmtId="0" fontId="1" fillId="2" borderId="7" applyNumberFormat="0" applyFont="1" applyFill="1" applyBorder="1" applyAlignment="1" applyProtection="0">
      <alignment horizontal="left" vertical="top" wrapText="1"/>
    </xf>
    <xf numFmtId="59" fontId="0" fillId="2" borderId="27" applyNumberFormat="1" applyFont="1" applyFill="1" applyBorder="1" applyAlignment="1" applyProtection="0">
      <alignment horizontal="center" vertical="top" wrapText="1"/>
    </xf>
    <xf numFmtId="59" fontId="0" fillId="2" borderId="28" applyNumberFormat="1" applyFont="1" applyFill="1" applyBorder="1" applyAlignment="1" applyProtection="0">
      <alignment horizontal="center" vertical="top" wrapText="1"/>
    </xf>
    <xf numFmtId="59" fontId="3" fillId="2" borderId="6" applyNumberFormat="1" applyFont="1" applyFill="1" applyBorder="1" applyAlignment="1" applyProtection="0">
      <alignment horizontal="center" vertical="top" wrapText="1"/>
    </xf>
    <xf numFmtId="49" fontId="3" fillId="2" borderId="7" applyNumberFormat="1" applyFont="1" applyFill="1" applyBorder="1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3f3f3f"/>
      <rgbColor rgb="ffcc241a"/>
      <rgbColor rgb="ffff2d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198"/>
  <sheetViews>
    <sheetView workbookViewId="0" showGridLines="0" defaultGridColor="1"/>
  </sheetViews>
  <sheetFormatPr defaultColWidth="16.3333" defaultRowHeight="18" customHeight="1" outlineLevelRow="0" outlineLevelCol="0"/>
  <cols>
    <col min="1" max="1" width="32.8047" style="1" customWidth="1"/>
    <col min="2" max="2" width="15.1719" style="1" customWidth="1"/>
    <col min="3" max="3" width="28.7266" style="1" customWidth="1"/>
    <col min="4" max="4" width="18.4219" style="1" customWidth="1"/>
    <col min="5" max="6" width="20.9219" style="1" customWidth="1"/>
    <col min="7" max="7" width="21.1797" style="1" customWidth="1"/>
    <col min="8" max="8" width="13.25" style="1" customWidth="1"/>
    <col min="9" max="9" width="11.4844" style="1" customWidth="1"/>
    <col min="10" max="10" width="27.2891" style="1" customWidth="1"/>
    <col min="11" max="11" width="15.6719" style="1" customWidth="1"/>
    <col min="12" max="13" width="11.8203" style="1" customWidth="1"/>
    <col min="14" max="256" width="16.3516" style="1" customWidth="1"/>
  </cols>
  <sheetData>
    <row r="1" ht="28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4"/>
      <c r="K1" s="4"/>
      <c r="L1" s="4"/>
      <c r="M1" s="5"/>
    </row>
    <row r="2" ht="40.55" customHeight="1">
      <c r="A2" t="s" s="6">
        <v>1</v>
      </c>
      <c r="B2" t="s" s="7">
        <v>2</v>
      </c>
      <c r="C2" t="s" s="7">
        <v>3</v>
      </c>
      <c r="D2" t="s" s="7">
        <v>4</v>
      </c>
      <c r="E2" t="s" s="7">
        <v>5</v>
      </c>
      <c r="F2" t="s" s="7">
        <v>6</v>
      </c>
      <c r="G2" t="s" s="7">
        <v>7</v>
      </c>
      <c r="H2" t="s" s="7">
        <v>8</v>
      </c>
      <c r="I2" t="s" s="8">
        <v>9</v>
      </c>
      <c r="J2" t="s" s="6">
        <v>10</v>
      </c>
      <c r="K2" t="s" s="9">
        <v>11</v>
      </c>
      <c r="L2" t="s" s="9">
        <v>12</v>
      </c>
      <c r="M2" s="10"/>
    </row>
    <row r="3" ht="20.55" customHeight="1">
      <c r="A3" t="s" s="11">
        <v>13</v>
      </c>
      <c r="B3" s="12"/>
      <c r="C3" s="12"/>
      <c r="D3" s="12"/>
      <c r="E3" s="12"/>
      <c r="F3" s="12"/>
      <c r="G3" s="12"/>
      <c r="H3" s="12"/>
      <c r="I3" s="12"/>
      <c r="J3" s="13"/>
      <c r="K3" s="14"/>
      <c r="L3" s="14"/>
      <c r="M3" s="14"/>
    </row>
    <row r="4" ht="20.35" customHeight="1">
      <c r="A4" t="s" s="15">
        <v>14</v>
      </c>
      <c r="B4" s="16"/>
      <c r="C4" s="16"/>
      <c r="D4" s="16"/>
      <c r="E4" t="s" s="17">
        <v>15</v>
      </c>
      <c r="F4" s="16"/>
      <c r="G4" s="16"/>
      <c r="H4" s="16"/>
      <c r="I4" s="18">
        <v>1</v>
      </c>
      <c r="J4" t="s" s="19">
        <v>16</v>
      </c>
      <c r="K4" s="20">
        <v>3200</v>
      </c>
      <c r="L4" s="20">
        <f>K4*0.05</f>
        <v>160</v>
      </c>
      <c r="M4" s="20">
        <v>160</v>
      </c>
    </row>
    <row r="5" ht="20.35" customHeight="1">
      <c r="A5" t="s" s="15">
        <v>17</v>
      </c>
      <c r="B5" s="16"/>
      <c r="C5" s="16"/>
      <c r="D5" s="16"/>
      <c r="E5" s="21"/>
      <c r="F5" s="16"/>
      <c r="G5" s="16"/>
      <c r="H5" s="16"/>
      <c r="I5" s="18">
        <v>1</v>
      </c>
      <c r="J5" t="s" s="19">
        <v>16</v>
      </c>
      <c r="K5" s="20">
        <v>3200</v>
      </c>
      <c r="L5" s="20">
        <f>K5*0.05</f>
        <v>160</v>
      </c>
      <c r="M5" s="20"/>
    </row>
    <row r="6" ht="20.35" customHeight="1">
      <c r="A6" t="s" s="22">
        <v>18</v>
      </c>
      <c r="B6" s="23"/>
      <c r="C6" s="16"/>
      <c r="D6" s="16"/>
      <c r="E6" s="16"/>
      <c r="F6" s="16"/>
      <c r="G6" s="16"/>
      <c r="H6" s="16"/>
      <c r="I6" s="18">
        <v>1</v>
      </c>
      <c r="J6" t="s" s="19">
        <v>16</v>
      </c>
      <c r="K6" s="20">
        <v>3200</v>
      </c>
      <c r="L6" s="20">
        <f>K6*0.05</f>
        <v>160</v>
      </c>
      <c r="M6" s="20"/>
    </row>
    <row r="7" ht="20.35" customHeight="1">
      <c r="A7" t="s" s="15">
        <v>19</v>
      </c>
      <c r="B7" s="16"/>
      <c r="C7" s="16"/>
      <c r="D7" s="16"/>
      <c r="E7" t="s" s="17">
        <v>20</v>
      </c>
      <c r="F7" s="16"/>
      <c r="G7" s="16"/>
      <c r="H7" s="16"/>
      <c r="I7" s="18">
        <v>1</v>
      </c>
      <c r="J7" t="s" s="19">
        <v>21</v>
      </c>
      <c r="K7" s="20">
        <v>2000</v>
      </c>
      <c r="L7" s="20">
        <f>K7*0.05</f>
        <v>100</v>
      </c>
      <c r="M7" s="20"/>
    </row>
    <row r="8" ht="20.35" customHeight="1">
      <c r="A8" t="s" s="15">
        <v>22</v>
      </c>
      <c r="B8" s="16"/>
      <c r="C8" s="16"/>
      <c r="D8" s="16"/>
      <c r="E8" t="s" s="17">
        <v>20</v>
      </c>
      <c r="F8" s="16"/>
      <c r="G8" s="16"/>
      <c r="H8" s="16"/>
      <c r="I8" s="18">
        <v>1</v>
      </c>
      <c r="J8" t="s" s="19">
        <v>16</v>
      </c>
      <c r="K8" s="20">
        <v>5000</v>
      </c>
      <c r="L8" s="20">
        <f>K8*0.05</f>
        <v>250</v>
      </c>
      <c r="M8" s="20"/>
    </row>
    <row r="9" ht="20.35" customHeight="1">
      <c r="A9" t="s" s="15">
        <v>23</v>
      </c>
      <c r="B9" s="16"/>
      <c r="C9" s="16"/>
      <c r="D9" s="16"/>
      <c r="E9" s="16"/>
      <c r="F9" s="16"/>
      <c r="G9" s="16"/>
      <c r="H9" s="16"/>
      <c r="I9" s="18">
        <v>1</v>
      </c>
      <c r="J9" t="s" s="19">
        <v>24</v>
      </c>
      <c r="K9" s="20">
        <v>1200</v>
      </c>
      <c r="L9" s="20">
        <f>K9*0.05</f>
        <v>60</v>
      </c>
      <c r="M9" s="20"/>
    </row>
    <row r="10" ht="20.35" customHeight="1">
      <c r="A10" t="s" s="15">
        <v>25</v>
      </c>
      <c r="B10" s="16"/>
      <c r="C10" s="16"/>
      <c r="D10" s="16"/>
      <c r="E10" t="s" s="17">
        <v>26</v>
      </c>
      <c r="F10" s="16"/>
      <c r="G10" s="16"/>
      <c r="H10" s="16"/>
      <c r="I10" s="18">
        <v>1</v>
      </c>
      <c r="J10" s="24">
        <v>45763</v>
      </c>
      <c r="K10" s="20">
        <v>2000</v>
      </c>
      <c r="L10" s="20">
        <f>K10*0.05</f>
        <v>100</v>
      </c>
      <c r="M10" s="20"/>
    </row>
    <row r="11" ht="17" customHeight="1">
      <c r="A11" t="s" s="15">
        <v>27</v>
      </c>
      <c r="B11" s="16"/>
      <c r="C11" s="16"/>
      <c r="D11" s="16"/>
      <c r="E11" t="s" s="25">
        <v>28</v>
      </c>
      <c r="F11" s="26"/>
      <c r="G11" s="16"/>
      <c r="H11" s="16"/>
      <c r="I11" s="18">
        <v>1</v>
      </c>
      <c r="J11" s="24">
        <v>45724</v>
      </c>
      <c r="K11" s="20">
        <v>400</v>
      </c>
      <c r="L11" s="20">
        <f>K11*0.05</f>
        <v>20</v>
      </c>
      <c r="M11" s="20"/>
    </row>
    <row r="12" ht="20.35" customHeight="1">
      <c r="A12" t="s" s="15">
        <v>27</v>
      </c>
      <c r="B12" s="16"/>
      <c r="C12" s="16"/>
      <c r="D12" s="16"/>
      <c r="E12" s="16"/>
      <c r="F12" s="16"/>
      <c r="G12" s="16"/>
      <c r="H12" s="16"/>
      <c r="I12" s="18">
        <v>1</v>
      </c>
      <c r="J12" s="24">
        <v>45724</v>
      </c>
      <c r="K12" s="20">
        <v>400</v>
      </c>
      <c r="L12" s="20">
        <f>K12*0.05</f>
        <v>20</v>
      </c>
      <c r="M12" s="20"/>
    </row>
    <row r="13" ht="20.35" customHeight="1">
      <c r="A13" t="s" s="19">
        <v>29</v>
      </c>
      <c r="B13" s="27">
        <v>45993</v>
      </c>
      <c r="C13" s="16"/>
      <c r="D13" s="16"/>
      <c r="E13" s="16"/>
      <c r="F13" s="16"/>
      <c r="G13" s="16"/>
      <c r="H13" s="16"/>
      <c r="I13" s="16"/>
      <c r="J13" s="28"/>
      <c r="K13" s="20"/>
      <c r="L13" s="20">
        <f>K13*0.05</f>
        <v>0</v>
      </c>
      <c r="M13" s="20"/>
    </row>
    <row r="14" ht="20.35" customHeight="1">
      <c r="A14" t="s" s="15">
        <v>30</v>
      </c>
      <c r="B14" s="16"/>
      <c r="C14" s="16"/>
      <c r="D14" s="16"/>
      <c r="E14" s="16"/>
      <c r="F14" s="16"/>
      <c r="G14" s="16"/>
      <c r="H14" s="16"/>
      <c r="I14" s="18">
        <v>1</v>
      </c>
      <c r="J14" t="s" s="19">
        <v>31</v>
      </c>
      <c r="K14" s="20">
        <v>350</v>
      </c>
      <c r="L14" s="20">
        <f>K14*0.05</f>
        <v>17.5</v>
      </c>
      <c r="M14" s="20"/>
    </row>
    <row r="15" ht="20.35" customHeight="1">
      <c r="A15" t="s" s="29">
        <v>32</v>
      </c>
      <c r="B15" s="16"/>
      <c r="C15" s="16"/>
      <c r="D15" s="16"/>
      <c r="E15" s="16"/>
      <c r="F15" s="16"/>
      <c r="G15" s="16"/>
      <c r="H15" s="16"/>
      <c r="I15" s="18">
        <v>1</v>
      </c>
      <c r="J15" t="s" s="19">
        <v>33</v>
      </c>
      <c r="K15" s="20">
        <v>1200</v>
      </c>
      <c r="L15" s="20">
        <f>K15*0.05</f>
        <v>60</v>
      </c>
      <c r="M15" s="20"/>
    </row>
    <row r="16" ht="20.35" customHeight="1">
      <c r="A16" t="s" s="30">
        <v>34</v>
      </c>
      <c r="B16" s="16"/>
      <c r="C16" s="16"/>
      <c r="D16" s="16"/>
      <c r="E16" s="16"/>
      <c r="F16" s="16"/>
      <c r="G16" s="16"/>
      <c r="H16" s="16"/>
      <c r="I16" s="18">
        <v>1</v>
      </c>
      <c r="J16" t="s" s="19">
        <v>35</v>
      </c>
      <c r="K16" s="20">
        <v>300</v>
      </c>
      <c r="L16" s="20">
        <f>K16*0.05</f>
        <v>15</v>
      </c>
      <c r="M16" s="20"/>
    </row>
    <row r="17" ht="20.35" customHeight="1">
      <c r="A17" t="s" s="31">
        <v>36</v>
      </c>
      <c r="B17" s="16"/>
      <c r="C17" s="16"/>
      <c r="D17" s="16"/>
      <c r="E17" s="16"/>
      <c r="F17" s="16"/>
      <c r="G17" s="16"/>
      <c r="H17" s="16"/>
      <c r="I17" s="16"/>
      <c r="J17" s="28"/>
      <c r="K17" s="20"/>
      <c r="L17" s="20"/>
      <c r="M17" s="20"/>
    </row>
    <row r="18" ht="20.35" customHeight="1">
      <c r="A18" t="s" s="19">
        <v>37</v>
      </c>
      <c r="B18" s="16"/>
      <c r="C18" s="16"/>
      <c r="D18" s="16"/>
      <c r="E18" t="s" s="17">
        <v>15</v>
      </c>
      <c r="F18" s="16"/>
      <c r="G18" s="16"/>
      <c r="H18" s="16"/>
      <c r="I18" s="18">
        <v>1</v>
      </c>
      <c r="J18" t="s" s="19">
        <v>38</v>
      </c>
      <c r="K18" s="20">
        <v>1200</v>
      </c>
      <c r="L18" s="20">
        <f>K18*0.05</f>
        <v>60</v>
      </c>
      <c r="M18" s="20"/>
    </row>
    <row r="19" ht="20.35" customHeight="1">
      <c r="A19" t="s" s="19">
        <v>39</v>
      </c>
      <c r="B19" s="16"/>
      <c r="C19" s="16"/>
      <c r="D19" s="16"/>
      <c r="E19" t="s" s="17">
        <v>20</v>
      </c>
      <c r="F19" s="16"/>
      <c r="G19" s="16"/>
      <c r="H19" s="16"/>
      <c r="I19" s="18">
        <v>1</v>
      </c>
      <c r="J19" t="s" s="19">
        <v>40</v>
      </c>
      <c r="K19" s="20">
        <v>800</v>
      </c>
      <c r="L19" s="20">
        <f>K19*0.05</f>
        <v>40</v>
      </c>
      <c r="M19" s="20"/>
    </row>
    <row r="20" ht="20.35" customHeight="1">
      <c r="A20" t="s" s="19">
        <v>39</v>
      </c>
      <c r="B20" s="16"/>
      <c r="C20" s="16"/>
      <c r="D20" s="16"/>
      <c r="E20" t="s" s="17">
        <v>15</v>
      </c>
      <c r="F20" s="16"/>
      <c r="G20" s="16"/>
      <c r="H20" s="16"/>
      <c r="I20" s="18">
        <v>1</v>
      </c>
      <c r="J20" t="s" s="19">
        <v>40</v>
      </c>
      <c r="K20" s="20">
        <v>800</v>
      </c>
      <c r="L20" s="20">
        <f>K20*0.05</f>
        <v>40</v>
      </c>
      <c r="M20" s="20"/>
    </row>
    <row r="21" ht="20.35" customHeight="1">
      <c r="A21" t="s" s="32">
        <v>41</v>
      </c>
      <c r="B21" s="23"/>
      <c r="C21" s="16"/>
      <c r="D21" s="16"/>
      <c r="E21" t="s" s="17">
        <v>42</v>
      </c>
      <c r="F21" s="16"/>
      <c r="G21" s="16"/>
      <c r="H21" s="16"/>
      <c r="I21" s="16"/>
      <c r="J21" s="19"/>
      <c r="K21" s="20"/>
      <c r="L21" s="20">
        <f>K21*0.05</f>
        <v>0</v>
      </c>
      <c r="M21" s="20"/>
    </row>
    <row r="22" ht="20.35" customHeight="1">
      <c r="A22" t="s" s="31">
        <v>43</v>
      </c>
      <c r="B22" s="16"/>
      <c r="C22" s="16"/>
      <c r="D22" s="16"/>
      <c r="E22" s="16"/>
      <c r="F22" s="16"/>
      <c r="G22" s="16"/>
      <c r="H22" s="16"/>
      <c r="I22" s="16"/>
      <c r="J22" s="28"/>
      <c r="K22" s="20"/>
      <c r="L22" s="20"/>
      <c r="M22" s="20"/>
    </row>
    <row r="23" ht="20.35" customHeight="1">
      <c r="A23" t="s" s="19">
        <v>44</v>
      </c>
      <c r="B23" s="16"/>
      <c r="C23" s="16"/>
      <c r="D23" s="16"/>
      <c r="E23" s="16"/>
      <c r="F23" s="16"/>
      <c r="G23" s="16"/>
      <c r="H23" s="16"/>
      <c r="I23" s="18">
        <v>1</v>
      </c>
      <c r="J23" t="s" s="19">
        <v>45</v>
      </c>
      <c r="K23" s="20">
        <v>800</v>
      </c>
      <c r="L23" s="20">
        <f>K23*0.05</f>
        <v>40</v>
      </c>
      <c r="M23" s="20"/>
    </row>
    <row r="24" ht="20.35" customHeight="1">
      <c r="A24" t="s" s="19">
        <v>46</v>
      </c>
      <c r="B24" s="16"/>
      <c r="C24" s="16"/>
      <c r="D24" s="16"/>
      <c r="E24" s="16"/>
      <c r="F24" s="16"/>
      <c r="G24" s="16"/>
      <c r="H24" s="16"/>
      <c r="I24" s="18">
        <v>1</v>
      </c>
      <c r="J24" t="s" s="19">
        <v>47</v>
      </c>
      <c r="K24" s="20">
        <v>800</v>
      </c>
      <c r="L24" s="20">
        <f>K24*0.05</f>
        <v>40</v>
      </c>
      <c r="M24" s="20"/>
    </row>
    <row r="25" ht="20.35" customHeight="1">
      <c r="A25" s="33"/>
      <c r="B25" s="16"/>
      <c r="C25" s="16"/>
      <c r="D25" s="16"/>
      <c r="E25" s="16"/>
      <c r="F25" s="16"/>
      <c r="G25" s="16"/>
      <c r="H25" s="16"/>
      <c r="I25" s="16"/>
      <c r="J25" s="28"/>
      <c r="K25" s="20"/>
      <c r="L25" s="20"/>
      <c r="M25" s="20"/>
    </row>
    <row r="26" ht="20.35" customHeight="1">
      <c r="A26" t="s" s="34">
        <v>48</v>
      </c>
      <c r="B26" s="16"/>
      <c r="C26" s="16"/>
      <c r="D26" s="16"/>
      <c r="E26" s="16"/>
      <c r="F26" s="16"/>
      <c r="G26" s="16"/>
      <c r="H26" s="16"/>
      <c r="I26" s="16"/>
      <c r="J26" s="28"/>
      <c r="K26" s="20"/>
      <c r="L26" s="20"/>
      <c r="M26" s="20"/>
    </row>
    <row r="27" ht="20.35" customHeight="1">
      <c r="A27" t="s" s="35">
        <v>49</v>
      </c>
      <c r="B27" s="27">
        <v>45597</v>
      </c>
      <c r="C27" t="s" s="17">
        <v>50</v>
      </c>
      <c r="D27" t="s" s="36">
        <v>51</v>
      </c>
      <c r="E27" t="s" s="17">
        <v>20</v>
      </c>
      <c r="F27" t="s" s="17">
        <v>52</v>
      </c>
      <c r="G27" s="16"/>
      <c r="H27" s="16"/>
      <c r="I27" s="18">
        <v>1</v>
      </c>
      <c r="J27" t="s" s="19">
        <v>53</v>
      </c>
      <c r="K27" s="20">
        <v>4000</v>
      </c>
      <c r="L27" s="20">
        <f>K27*0.05</f>
        <v>200</v>
      </c>
      <c r="M27" s="20"/>
    </row>
    <row r="28" ht="20.35" customHeight="1">
      <c r="A28" t="s" s="35">
        <v>54</v>
      </c>
      <c r="B28" s="27">
        <v>45597</v>
      </c>
      <c r="C28" t="s" s="17">
        <v>55</v>
      </c>
      <c r="D28" t="s" s="36">
        <v>51</v>
      </c>
      <c r="E28" t="s" s="17">
        <v>20</v>
      </c>
      <c r="F28" s="16"/>
      <c r="G28" s="16"/>
      <c r="H28" s="16"/>
      <c r="I28" s="18">
        <v>1</v>
      </c>
      <c r="J28" t="s" s="19">
        <v>53</v>
      </c>
      <c r="K28" s="20">
        <v>4000</v>
      </c>
      <c r="L28" s="20">
        <f>K28*0.05</f>
        <v>200</v>
      </c>
      <c r="M28" s="20"/>
    </row>
    <row r="29" ht="20.35" customHeight="1">
      <c r="A29" t="s" s="35">
        <v>56</v>
      </c>
      <c r="B29" s="27">
        <v>45007</v>
      </c>
      <c r="C29" t="s" s="17">
        <v>57</v>
      </c>
      <c r="D29" t="s" s="36">
        <v>51</v>
      </c>
      <c r="E29" t="s" s="17">
        <v>15</v>
      </c>
      <c r="F29" s="16"/>
      <c r="G29" s="16"/>
      <c r="H29" s="16"/>
      <c r="I29" s="18">
        <v>1</v>
      </c>
      <c r="J29" t="s" s="19">
        <v>58</v>
      </c>
      <c r="K29" s="20">
        <v>4000</v>
      </c>
      <c r="L29" s="20">
        <f>K29*0.05</f>
        <v>200</v>
      </c>
      <c r="M29" s="20"/>
    </row>
    <row r="30" ht="20.35" customHeight="1">
      <c r="A30" t="s" s="35">
        <v>59</v>
      </c>
      <c r="B30" s="27">
        <v>45007</v>
      </c>
      <c r="C30" t="s" s="17">
        <v>60</v>
      </c>
      <c r="D30" t="s" s="36">
        <v>51</v>
      </c>
      <c r="E30" t="s" s="17">
        <v>15</v>
      </c>
      <c r="F30" s="16"/>
      <c r="G30" s="16"/>
      <c r="H30" s="16"/>
      <c r="I30" s="18">
        <v>1</v>
      </c>
      <c r="J30" t="s" s="19">
        <v>53</v>
      </c>
      <c r="K30" s="20">
        <v>4000</v>
      </c>
      <c r="L30" s="20">
        <f>K30*0.05</f>
        <v>200</v>
      </c>
      <c r="M30" s="20"/>
    </row>
    <row r="31" ht="20.35" customHeight="1">
      <c r="A31" t="s" s="35">
        <v>61</v>
      </c>
      <c r="B31" s="27">
        <v>44279</v>
      </c>
      <c r="C31" t="s" s="17">
        <v>62</v>
      </c>
      <c r="D31" t="s" s="36">
        <v>63</v>
      </c>
      <c r="E31" t="s" s="17">
        <v>20</v>
      </c>
      <c r="F31" s="16"/>
      <c r="G31" s="16"/>
      <c r="H31" s="37"/>
      <c r="I31" s="18">
        <v>1</v>
      </c>
      <c r="J31" t="s" s="19">
        <v>64</v>
      </c>
      <c r="K31" s="20">
        <v>1500</v>
      </c>
      <c r="L31" s="20">
        <f>K31*0.05</f>
        <v>75</v>
      </c>
      <c r="M31" s="20"/>
    </row>
    <row r="32" ht="20.35" customHeight="1">
      <c r="A32" t="s" s="35">
        <v>65</v>
      </c>
      <c r="B32" s="27">
        <v>44279</v>
      </c>
      <c r="C32" t="s" s="17">
        <v>66</v>
      </c>
      <c r="D32" t="s" s="36">
        <v>63</v>
      </c>
      <c r="E32" t="s" s="17">
        <v>20</v>
      </c>
      <c r="F32" s="16"/>
      <c r="G32" s="16"/>
      <c r="H32" s="38"/>
      <c r="I32" s="18">
        <v>1</v>
      </c>
      <c r="J32" t="s" s="19">
        <v>64</v>
      </c>
      <c r="K32" s="20">
        <v>1500</v>
      </c>
      <c r="L32" s="20">
        <f>K32*0.05</f>
        <v>75</v>
      </c>
      <c r="M32" s="20"/>
    </row>
    <row r="33" ht="20.35" customHeight="1">
      <c r="A33" t="s" s="35">
        <v>67</v>
      </c>
      <c r="B33" s="27">
        <v>44279</v>
      </c>
      <c r="C33" t="s" s="17">
        <v>68</v>
      </c>
      <c r="D33" t="s" s="36">
        <v>63</v>
      </c>
      <c r="E33" t="s" s="17">
        <v>20</v>
      </c>
      <c r="F33" s="16"/>
      <c r="G33" s="16"/>
      <c r="H33" s="38"/>
      <c r="I33" s="18">
        <v>1</v>
      </c>
      <c r="J33" t="s" s="19">
        <v>64</v>
      </c>
      <c r="K33" s="20">
        <v>1500</v>
      </c>
      <c r="L33" s="20">
        <f>K33*0.05</f>
        <v>75</v>
      </c>
      <c r="M33" s="20"/>
    </row>
    <row r="34" ht="20.35" customHeight="1">
      <c r="A34" t="s" s="35">
        <v>69</v>
      </c>
      <c r="B34" s="27">
        <v>44279</v>
      </c>
      <c r="C34" t="s" s="17">
        <v>70</v>
      </c>
      <c r="D34" t="s" s="36">
        <v>63</v>
      </c>
      <c r="E34" t="s" s="17">
        <v>20</v>
      </c>
      <c r="F34" s="16"/>
      <c r="G34" s="16"/>
      <c r="H34" s="38"/>
      <c r="I34" s="18">
        <v>1</v>
      </c>
      <c r="J34" t="s" s="19">
        <v>64</v>
      </c>
      <c r="K34" s="20">
        <v>1500</v>
      </c>
      <c r="L34" s="20">
        <f>K34*0.05</f>
        <v>75</v>
      </c>
      <c r="M34" s="20"/>
    </row>
    <row r="35" ht="20.35" customHeight="1">
      <c r="A35" t="s" s="35">
        <v>71</v>
      </c>
      <c r="B35" s="27">
        <v>44369</v>
      </c>
      <c r="C35" t="s" s="17">
        <v>72</v>
      </c>
      <c r="D35" t="s" s="36">
        <v>73</v>
      </c>
      <c r="E35" t="s" s="17">
        <v>15</v>
      </c>
      <c r="F35" s="16"/>
      <c r="G35" s="16"/>
      <c r="H35" s="38"/>
      <c r="I35" s="18">
        <v>1</v>
      </c>
      <c r="J35" t="s" s="19">
        <v>74</v>
      </c>
      <c r="K35" s="20">
        <v>1200</v>
      </c>
      <c r="L35" s="20">
        <f>K35*0.05</f>
        <v>60</v>
      </c>
      <c r="M35" s="20"/>
    </row>
    <row r="36" ht="20.35" customHeight="1">
      <c r="A36" t="s" s="35">
        <v>75</v>
      </c>
      <c r="B36" s="27">
        <v>44369</v>
      </c>
      <c r="C36" t="s" s="17">
        <v>76</v>
      </c>
      <c r="D36" t="s" s="36">
        <v>73</v>
      </c>
      <c r="E36" t="s" s="17">
        <v>15</v>
      </c>
      <c r="F36" s="16"/>
      <c r="G36" s="16"/>
      <c r="H36" s="38"/>
      <c r="I36" s="18">
        <v>1</v>
      </c>
      <c r="J36" t="s" s="19">
        <v>74</v>
      </c>
      <c r="K36" s="20">
        <v>1200</v>
      </c>
      <c r="L36" s="20">
        <f>K36*0.05</f>
        <v>60</v>
      </c>
      <c r="M36" s="20"/>
    </row>
    <row r="37" ht="20.35" customHeight="1">
      <c r="A37" t="s" s="35">
        <v>77</v>
      </c>
      <c r="B37" s="27">
        <v>44369</v>
      </c>
      <c r="C37" t="s" s="17">
        <v>78</v>
      </c>
      <c r="D37" t="s" s="36">
        <v>73</v>
      </c>
      <c r="E37" t="s" s="17">
        <v>15</v>
      </c>
      <c r="F37" s="16"/>
      <c r="G37" s="16"/>
      <c r="H37" s="39"/>
      <c r="I37" s="18">
        <v>1</v>
      </c>
      <c r="J37" t="s" s="19">
        <v>74</v>
      </c>
      <c r="K37" s="20">
        <v>1200</v>
      </c>
      <c r="L37" s="20">
        <f>K37*0.05</f>
        <v>60</v>
      </c>
      <c r="M37" s="20"/>
    </row>
    <row r="38" ht="20.35" customHeight="1">
      <c r="A38" t="s" s="35">
        <v>79</v>
      </c>
      <c r="B38" s="27">
        <v>44369</v>
      </c>
      <c r="C38" t="s" s="17">
        <v>80</v>
      </c>
      <c r="D38" t="s" s="36">
        <v>73</v>
      </c>
      <c r="E38" t="s" s="17">
        <v>15</v>
      </c>
      <c r="F38" s="16"/>
      <c r="G38" s="16"/>
      <c r="H38" s="16"/>
      <c r="I38" s="18">
        <v>1</v>
      </c>
      <c r="J38" t="s" s="19">
        <v>74</v>
      </c>
      <c r="K38" s="20">
        <v>1200</v>
      </c>
      <c r="L38" s="20">
        <f>K38*0.05</f>
        <v>60</v>
      </c>
      <c r="M38" s="20"/>
    </row>
    <row r="39" ht="20.35" customHeight="1">
      <c r="A39" t="s" s="40">
        <v>81</v>
      </c>
      <c r="B39" s="27">
        <v>45897</v>
      </c>
      <c r="C39" t="s" s="17">
        <v>82</v>
      </c>
      <c r="D39" t="s" s="36">
        <v>73</v>
      </c>
      <c r="E39" s="16"/>
      <c r="F39" s="16"/>
      <c r="G39" s="16"/>
      <c r="H39" s="16"/>
      <c r="I39" s="16"/>
      <c r="J39" s="28"/>
      <c r="K39" s="20"/>
      <c r="L39" s="20">
        <f>K39*0.05</f>
        <v>0</v>
      </c>
      <c r="M39" s="20"/>
    </row>
    <row r="40" ht="20.35" customHeight="1">
      <c r="A40" t="s" s="40">
        <v>83</v>
      </c>
      <c r="B40" s="27">
        <v>45897</v>
      </c>
      <c r="C40" t="s" s="17">
        <v>84</v>
      </c>
      <c r="D40" t="s" s="36">
        <v>73</v>
      </c>
      <c r="E40" s="16"/>
      <c r="F40" s="16"/>
      <c r="G40" s="16"/>
      <c r="H40" s="16"/>
      <c r="I40" s="16"/>
      <c r="J40" s="28"/>
      <c r="K40" s="20"/>
      <c r="L40" s="20">
        <f>K40*0.05</f>
        <v>0</v>
      </c>
      <c r="M40" s="20"/>
    </row>
    <row r="41" ht="20.35" customHeight="1">
      <c r="A41" t="s" s="40">
        <v>85</v>
      </c>
      <c r="B41" s="27">
        <v>45897</v>
      </c>
      <c r="C41" t="s" s="17">
        <v>86</v>
      </c>
      <c r="D41" t="s" s="36">
        <v>73</v>
      </c>
      <c r="E41" s="16"/>
      <c r="F41" s="16"/>
      <c r="G41" s="16"/>
      <c r="H41" s="16"/>
      <c r="I41" s="16"/>
      <c r="J41" s="28"/>
      <c r="K41" s="20"/>
      <c r="L41" s="20">
        <f>K41*0.05</f>
        <v>0</v>
      </c>
      <c r="M41" s="20"/>
    </row>
    <row r="42" ht="20.35" customHeight="1">
      <c r="A42" t="s" s="40">
        <v>87</v>
      </c>
      <c r="B42" s="27">
        <v>45897</v>
      </c>
      <c r="C42" t="s" s="17">
        <v>88</v>
      </c>
      <c r="D42" t="s" s="36">
        <v>73</v>
      </c>
      <c r="E42" s="16"/>
      <c r="F42" s="16"/>
      <c r="G42" s="16"/>
      <c r="H42" s="16"/>
      <c r="I42" s="16"/>
      <c r="J42" s="28"/>
      <c r="K42" s="20"/>
      <c r="L42" s="20">
        <f>K42*0.05</f>
        <v>0</v>
      </c>
      <c r="M42" s="20"/>
    </row>
    <row r="43" ht="20.35" customHeight="1">
      <c r="A43" t="s" s="40">
        <v>89</v>
      </c>
      <c r="B43" s="27">
        <v>45897</v>
      </c>
      <c r="C43" t="s" s="17">
        <v>90</v>
      </c>
      <c r="D43" t="s" s="36">
        <v>91</v>
      </c>
      <c r="E43" t="s" s="17">
        <v>20</v>
      </c>
      <c r="F43" s="16"/>
      <c r="G43" s="16"/>
      <c r="H43" s="16"/>
      <c r="I43" s="16"/>
      <c r="J43" s="28"/>
      <c r="K43" s="20"/>
      <c r="L43" s="20">
        <f>K43*0.05</f>
        <v>0</v>
      </c>
      <c r="M43" s="20"/>
    </row>
    <row r="44" ht="20.35" customHeight="1">
      <c r="A44" t="s" s="35">
        <v>92</v>
      </c>
      <c r="B44" s="27">
        <v>44258</v>
      </c>
      <c r="C44" t="s" s="17">
        <v>93</v>
      </c>
      <c r="D44" t="s" s="36">
        <v>94</v>
      </c>
      <c r="E44" t="s" s="17">
        <v>20</v>
      </c>
      <c r="F44" s="16"/>
      <c r="G44" s="16"/>
      <c r="H44" s="16"/>
      <c r="I44" s="18">
        <v>1</v>
      </c>
      <c r="J44" t="s" s="19">
        <v>95</v>
      </c>
      <c r="K44" s="20">
        <v>2500</v>
      </c>
      <c r="L44" s="20">
        <f>K44*0.05</f>
        <v>125</v>
      </c>
      <c r="M44" s="20"/>
    </row>
    <row r="45" ht="20.35" customHeight="1">
      <c r="A45" t="s" s="35">
        <v>96</v>
      </c>
      <c r="B45" s="27">
        <v>44258</v>
      </c>
      <c r="C45" t="s" s="17">
        <v>97</v>
      </c>
      <c r="D45" t="s" s="36">
        <v>94</v>
      </c>
      <c r="E45" t="s" s="17">
        <v>20</v>
      </c>
      <c r="F45" s="16"/>
      <c r="G45" s="16"/>
      <c r="H45" s="16"/>
      <c r="I45" s="18">
        <v>1</v>
      </c>
      <c r="J45" t="s" s="19">
        <v>95</v>
      </c>
      <c r="K45" s="20">
        <v>2500</v>
      </c>
      <c r="L45" s="20">
        <f>K45*0.05</f>
        <v>125</v>
      </c>
      <c r="M45" s="20"/>
    </row>
    <row r="46" ht="20.35" customHeight="1">
      <c r="A46" t="s" s="35">
        <v>98</v>
      </c>
      <c r="B46" s="27">
        <v>44258</v>
      </c>
      <c r="C46" t="s" s="17">
        <v>99</v>
      </c>
      <c r="D46" t="s" s="36">
        <v>94</v>
      </c>
      <c r="E46" t="s" s="17">
        <v>20</v>
      </c>
      <c r="F46" s="16"/>
      <c r="G46" s="16"/>
      <c r="H46" s="16"/>
      <c r="I46" s="18">
        <v>1</v>
      </c>
      <c r="J46" t="s" s="19">
        <v>95</v>
      </c>
      <c r="K46" s="20">
        <v>2500</v>
      </c>
      <c r="L46" s="20">
        <f>K46*0.05</f>
        <v>125</v>
      </c>
      <c r="M46" s="20"/>
    </row>
    <row r="47" ht="20.35" customHeight="1">
      <c r="A47" t="s" s="35">
        <v>100</v>
      </c>
      <c r="B47" s="27">
        <v>44258</v>
      </c>
      <c r="C47" t="s" s="17">
        <v>101</v>
      </c>
      <c r="D47" t="s" s="36">
        <v>94</v>
      </c>
      <c r="E47" t="s" s="17">
        <v>20</v>
      </c>
      <c r="F47" s="16"/>
      <c r="G47" s="16"/>
      <c r="H47" s="16"/>
      <c r="I47" s="18">
        <v>1</v>
      </c>
      <c r="J47" t="s" s="19">
        <v>95</v>
      </c>
      <c r="K47" s="20">
        <v>2500</v>
      </c>
      <c r="L47" s="20">
        <f>K47*0.05</f>
        <v>125</v>
      </c>
      <c r="M47" s="20"/>
    </row>
    <row r="48" ht="20.35" customHeight="1">
      <c r="A48" t="s" s="35">
        <v>102</v>
      </c>
      <c r="B48" s="27">
        <v>44258</v>
      </c>
      <c r="C48" t="s" s="17">
        <v>103</v>
      </c>
      <c r="D48" t="s" s="36">
        <v>94</v>
      </c>
      <c r="E48" t="s" s="17">
        <v>15</v>
      </c>
      <c r="F48" s="16"/>
      <c r="G48" s="16"/>
      <c r="H48" s="16"/>
      <c r="I48" s="18">
        <v>1</v>
      </c>
      <c r="J48" t="s" s="19">
        <v>95</v>
      </c>
      <c r="K48" s="20">
        <v>2500</v>
      </c>
      <c r="L48" s="20">
        <f>K48*0.05</f>
        <v>125</v>
      </c>
      <c r="M48" s="20"/>
    </row>
    <row r="49" ht="20.35" customHeight="1">
      <c r="A49" t="s" s="35">
        <v>104</v>
      </c>
      <c r="B49" s="27">
        <v>44258</v>
      </c>
      <c r="C49" t="s" s="17">
        <v>105</v>
      </c>
      <c r="D49" t="s" s="36">
        <v>94</v>
      </c>
      <c r="E49" t="s" s="17">
        <v>15</v>
      </c>
      <c r="F49" s="16"/>
      <c r="G49" s="16"/>
      <c r="H49" s="16"/>
      <c r="I49" s="18">
        <v>1</v>
      </c>
      <c r="J49" t="s" s="19">
        <v>95</v>
      </c>
      <c r="K49" s="20">
        <v>2500</v>
      </c>
      <c r="L49" s="20">
        <f>K49*0.05</f>
        <v>125</v>
      </c>
      <c r="M49" s="20"/>
    </row>
    <row r="50" ht="20.35" customHeight="1">
      <c r="A50" t="s" s="35">
        <v>106</v>
      </c>
      <c r="B50" s="27">
        <v>44258</v>
      </c>
      <c r="C50" t="s" s="17">
        <v>107</v>
      </c>
      <c r="D50" t="s" s="36">
        <v>94</v>
      </c>
      <c r="E50" t="s" s="17">
        <v>15</v>
      </c>
      <c r="F50" s="16"/>
      <c r="G50" s="16"/>
      <c r="H50" s="16"/>
      <c r="I50" s="18">
        <v>1</v>
      </c>
      <c r="J50" t="s" s="19">
        <v>95</v>
      </c>
      <c r="K50" s="20">
        <v>2500</v>
      </c>
      <c r="L50" s="20">
        <f>K50*0.05</f>
        <v>125</v>
      </c>
      <c r="M50" s="20"/>
    </row>
    <row r="51" ht="20.35" customHeight="1">
      <c r="A51" t="s" s="35">
        <v>108</v>
      </c>
      <c r="B51" s="27">
        <v>44258</v>
      </c>
      <c r="C51" t="s" s="17">
        <v>109</v>
      </c>
      <c r="D51" t="s" s="36">
        <v>94</v>
      </c>
      <c r="E51" t="s" s="17">
        <v>15</v>
      </c>
      <c r="F51" s="16"/>
      <c r="G51" s="16"/>
      <c r="H51" s="16"/>
      <c r="I51" s="18">
        <v>1</v>
      </c>
      <c r="J51" t="s" s="19">
        <v>95</v>
      </c>
      <c r="K51" s="20">
        <v>2500</v>
      </c>
      <c r="L51" s="20">
        <f>K51*0.05</f>
        <v>125</v>
      </c>
      <c r="M51" s="20"/>
    </row>
    <row r="52" ht="20.35" customHeight="1">
      <c r="A52" t="s" s="15">
        <v>110</v>
      </c>
      <c r="B52" s="16"/>
      <c r="C52" s="16"/>
      <c r="D52" s="16"/>
      <c r="E52" t="s" s="17">
        <v>26</v>
      </c>
      <c r="F52" s="16"/>
      <c r="G52" s="16"/>
      <c r="H52" s="16"/>
      <c r="I52" s="18">
        <v>1</v>
      </c>
      <c r="J52" t="s" s="19">
        <v>111</v>
      </c>
      <c r="K52" s="20">
        <v>1200</v>
      </c>
      <c r="L52" s="20">
        <f>K52*0.05</f>
        <v>60</v>
      </c>
      <c r="M52" s="20"/>
    </row>
    <row r="53" ht="20.35" customHeight="1">
      <c r="A53" t="s" s="15">
        <v>110</v>
      </c>
      <c r="B53" s="16"/>
      <c r="C53" s="16"/>
      <c r="D53" s="16"/>
      <c r="E53" t="s" s="17">
        <v>26</v>
      </c>
      <c r="F53" s="16"/>
      <c r="G53" s="16"/>
      <c r="H53" s="16"/>
      <c r="I53" s="18">
        <v>1</v>
      </c>
      <c r="J53" t="s" s="19">
        <v>111</v>
      </c>
      <c r="K53" s="20">
        <v>1200</v>
      </c>
      <c r="L53" s="20">
        <f>K53*0.05</f>
        <v>60</v>
      </c>
      <c r="M53" s="20"/>
    </row>
    <row r="54" ht="20.35" customHeight="1">
      <c r="A54" t="s" s="15">
        <v>110</v>
      </c>
      <c r="B54" s="16"/>
      <c r="C54" s="16"/>
      <c r="D54" s="16"/>
      <c r="E54" t="s" s="41">
        <v>28</v>
      </c>
      <c r="F54" s="16"/>
      <c r="G54" s="16"/>
      <c r="H54" s="16"/>
      <c r="I54" s="18">
        <v>1</v>
      </c>
      <c r="J54" t="s" s="19">
        <v>111</v>
      </c>
      <c r="K54" s="20">
        <v>1200</v>
      </c>
      <c r="L54" s="20">
        <f>K54*0.05</f>
        <v>60</v>
      </c>
      <c r="M54" s="20"/>
    </row>
    <row r="55" ht="20.35" customHeight="1">
      <c r="A55" t="s" s="15">
        <v>110</v>
      </c>
      <c r="B55" s="16"/>
      <c r="C55" s="16"/>
      <c r="D55" s="16"/>
      <c r="E55" t="s" s="42">
        <v>28</v>
      </c>
      <c r="F55" s="16"/>
      <c r="G55" s="16"/>
      <c r="H55" s="16"/>
      <c r="I55" s="18">
        <v>1</v>
      </c>
      <c r="J55" t="s" s="19">
        <v>111</v>
      </c>
      <c r="K55" s="20">
        <v>1200</v>
      </c>
      <c r="L55" s="20">
        <f>K55*0.05</f>
        <v>60</v>
      </c>
      <c r="M55" s="20"/>
    </row>
    <row r="56" ht="20.35" customHeight="1">
      <c r="A56" t="s" s="15">
        <v>110</v>
      </c>
      <c r="B56" s="16"/>
      <c r="C56" s="16"/>
      <c r="D56" s="16"/>
      <c r="E56" s="16"/>
      <c r="F56" s="16"/>
      <c r="G56" s="16"/>
      <c r="H56" s="16"/>
      <c r="I56" s="18">
        <v>1</v>
      </c>
      <c r="J56" t="s" s="19">
        <v>111</v>
      </c>
      <c r="K56" s="20">
        <v>1200</v>
      </c>
      <c r="L56" s="20">
        <f>K56*0.05</f>
        <v>60</v>
      </c>
      <c r="M56" s="20"/>
    </row>
    <row r="57" ht="20.35" customHeight="1">
      <c r="A57" t="s" s="15">
        <v>110</v>
      </c>
      <c r="B57" s="16"/>
      <c r="C57" s="16"/>
      <c r="D57" s="16"/>
      <c r="E57" s="16"/>
      <c r="F57" s="16"/>
      <c r="G57" s="16"/>
      <c r="H57" s="16"/>
      <c r="I57" s="18">
        <v>1</v>
      </c>
      <c r="J57" t="s" s="19">
        <v>111</v>
      </c>
      <c r="K57" s="20">
        <v>1200</v>
      </c>
      <c r="L57" s="20">
        <f>K57*0.05</f>
        <v>60</v>
      </c>
      <c r="M57" s="20"/>
    </row>
    <row r="58" ht="20.35" customHeight="1">
      <c r="A58" t="s" s="15">
        <v>112</v>
      </c>
      <c r="B58" s="16"/>
      <c r="C58" s="16"/>
      <c r="D58" s="16"/>
      <c r="E58" t="s" s="17">
        <v>26</v>
      </c>
      <c r="F58" s="16"/>
      <c r="G58" s="16"/>
      <c r="H58" s="16"/>
      <c r="I58" s="18">
        <v>1</v>
      </c>
      <c r="J58" t="s" s="19">
        <v>113</v>
      </c>
      <c r="K58" s="20">
        <v>2500</v>
      </c>
      <c r="L58" s="20">
        <f>K58*0.05</f>
        <v>125</v>
      </c>
      <c r="M58" s="20"/>
    </row>
    <row r="59" ht="20.35" customHeight="1">
      <c r="A59" t="s" s="15">
        <v>114</v>
      </c>
      <c r="B59" s="16"/>
      <c r="C59" s="16"/>
      <c r="D59" s="16"/>
      <c r="E59" t="s" s="17">
        <v>26</v>
      </c>
      <c r="F59" s="16"/>
      <c r="G59" s="16"/>
      <c r="H59" s="16"/>
      <c r="I59" s="18">
        <v>1</v>
      </c>
      <c r="J59" t="s" s="19">
        <v>113</v>
      </c>
      <c r="K59" s="20">
        <v>2500</v>
      </c>
      <c r="L59" s="20">
        <v>125</v>
      </c>
      <c r="M59" s="20"/>
    </row>
    <row r="60" ht="20.35" customHeight="1">
      <c r="A60" t="s" s="15">
        <v>115</v>
      </c>
      <c r="B60" s="16"/>
      <c r="C60" s="16"/>
      <c r="D60" s="16"/>
      <c r="E60" s="16"/>
      <c r="F60" s="16"/>
      <c r="G60" s="16"/>
      <c r="H60" s="16"/>
      <c r="I60" s="18">
        <v>1</v>
      </c>
      <c r="J60" t="s" s="19">
        <v>116</v>
      </c>
      <c r="K60" s="20">
        <v>800</v>
      </c>
      <c r="L60" s="20">
        <f>K60*0.05</f>
        <v>40</v>
      </c>
      <c r="M60" s="20"/>
    </row>
    <row r="61" ht="20.35" customHeight="1">
      <c r="A61" t="s" s="15">
        <v>117</v>
      </c>
      <c r="B61" s="16"/>
      <c r="C61" s="16"/>
      <c r="D61" s="16"/>
      <c r="E61" s="16"/>
      <c r="F61" s="16"/>
      <c r="G61" s="16"/>
      <c r="H61" s="16"/>
      <c r="I61" s="18">
        <v>1</v>
      </c>
      <c r="J61" t="s" s="19">
        <v>116</v>
      </c>
      <c r="K61" s="20">
        <v>800</v>
      </c>
      <c r="L61" s="20">
        <f>K61*0.05</f>
        <v>40</v>
      </c>
      <c r="M61" s="20"/>
    </row>
    <row r="62" ht="20.35" customHeight="1">
      <c r="A62" t="s" s="15">
        <v>118</v>
      </c>
      <c r="B62" s="16"/>
      <c r="C62" s="16"/>
      <c r="D62" s="16"/>
      <c r="E62" s="16"/>
      <c r="F62" s="16"/>
      <c r="G62" s="16"/>
      <c r="H62" s="16"/>
      <c r="I62" s="18">
        <v>1</v>
      </c>
      <c r="J62" t="s" s="19">
        <v>116</v>
      </c>
      <c r="K62" s="20">
        <v>400</v>
      </c>
      <c r="L62" s="20">
        <f>K62*0.05</f>
        <v>20</v>
      </c>
      <c r="M62" s="20"/>
    </row>
    <row r="63" ht="20.35" customHeight="1">
      <c r="A63" t="s" s="15">
        <v>119</v>
      </c>
      <c r="B63" s="16"/>
      <c r="C63" s="16"/>
      <c r="D63" s="16"/>
      <c r="E63" s="16"/>
      <c r="F63" s="16"/>
      <c r="G63" s="16"/>
      <c r="H63" s="16"/>
      <c r="I63" s="18">
        <v>1</v>
      </c>
      <c r="J63" t="s" s="19">
        <v>120</v>
      </c>
      <c r="K63" s="20">
        <v>1500</v>
      </c>
      <c r="L63" s="20">
        <f>K63*0.05</f>
        <v>75</v>
      </c>
      <c r="M63" s="20"/>
    </row>
    <row r="64" ht="20.35" customHeight="1">
      <c r="A64" t="s" s="15">
        <v>119</v>
      </c>
      <c r="B64" s="16"/>
      <c r="C64" s="16"/>
      <c r="D64" s="16"/>
      <c r="E64" s="16"/>
      <c r="F64" s="16"/>
      <c r="G64" s="16"/>
      <c r="H64" s="16"/>
      <c r="I64" s="18">
        <v>1</v>
      </c>
      <c r="J64" t="s" s="19">
        <v>120</v>
      </c>
      <c r="K64" s="20">
        <v>1500</v>
      </c>
      <c r="L64" s="20">
        <f>K64*0.05</f>
        <v>75</v>
      </c>
      <c r="M64" s="20"/>
    </row>
    <row r="65" ht="20.35" customHeight="1">
      <c r="A65" t="s" s="15">
        <v>121</v>
      </c>
      <c r="B65" s="16"/>
      <c r="C65" s="16"/>
      <c r="D65" s="16"/>
      <c r="E65" t="s" s="17">
        <v>15</v>
      </c>
      <c r="F65" t="s" s="17">
        <v>122</v>
      </c>
      <c r="G65" s="16"/>
      <c r="H65" s="16"/>
      <c r="I65" s="18">
        <v>1</v>
      </c>
      <c r="J65" t="s" s="19">
        <v>123</v>
      </c>
      <c r="K65" s="20">
        <v>500</v>
      </c>
      <c r="L65" s="20">
        <f>K65*0.05</f>
        <v>25</v>
      </c>
      <c r="M65" s="20"/>
    </row>
    <row r="66" ht="20.35" customHeight="1">
      <c r="A66" t="s" s="19">
        <v>121</v>
      </c>
      <c r="B66" s="16"/>
      <c r="C66" s="16"/>
      <c r="D66" s="16"/>
      <c r="E66" t="s" s="17">
        <v>124</v>
      </c>
      <c r="F66" s="16"/>
      <c r="G66" s="16"/>
      <c r="H66" s="16"/>
      <c r="I66" s="18">
        <v>1</v>
      </c>
      <c r="J66" t="s" s="19">
        <v>123</v>
      </c>
      <c r="K66" s="20">
        <v>500</v>
      </c>
      <c r="L66" s="20">
        <f>K66*0.05</f>
        <v>25</v>
      </c>
      <c r="M66" s="20"/>
    </row>
    <row r="67" ht="20.35" customHeight="1">
      <c r="A67" t="s" s="19">
        <v>121</v>
      </c>
      <c r="B67" s="16"/>
      <c r="C67" s="16"/>
      <c r="D67" s="16"/>
      <c r="E67" t="s" s="17">
        <v>124</v>
      </c>
      <c r="F67" s="16"/>
      <c r="G67" s="16"/>
      <c r="H67" s="16"/>
      <c r="I67" s="18">
        <v>1</v>
      </c>
      <c r="J67" t="s" s="19">
        <v>123</v>
      </c>
      <c r="K67" s="20">
        <v>500</v>
      </c>
      <c r="L67" s="20">
        <f>K67*0.05</f>
        <v>25</v>
      </c>
      <c r="M67" s="20"/>
    </row>
    <row r="68" ht="20.35" customHeight="1">
      <c r="A68" t="s" s="19">
        <v>121</v>
      </c>
      <c r="B68" s="16"/>
      <c r="C68" s="16"/>
      <c r="D68" s="16"/>
      <c r="E68" t="s" s="17">
        <v>124</v>
      </c>
      <c r="F68" s="16"/>
      <c r="G68" s="16"/>
      <c r="H68" s="16"/>
      <c r="I68" s="18">
        <v>1</v>
      </c>
      <c r="J68" t="s" s="19">
        <v>123</v>
      </c>
      <c r="K68" s="20">
        <v>500</v>
      </c>
      <c r="L68" s="20">
        <f>K68*0.05</f>
        <v>25</v>
      </c>
      <c r="M68" s="20"/>
    </row>
    <row r="69" ht="20.35" customHeight="1">
      <c r="A69" t="s" s="34">
        <v>125</v>
      </c>
      <c r="B69" s="16"/>
      <c r="C69" s="16"/>
      <c r="D69" s="16"/>
      <c r="E69" s="16"/>
      <c r="F69" s="16"/>
      <c r="G69" s="16"/>
      <c r="H69" s="16"/>
      <c r="I69" s="16"/>
      <c r="J69" s="28"/>
      <c r="K69" s="20"/>
      <c r="L69" s="20"/>
      <c r="M69" s="20"/>
    </row>
    <row r="70" ht="20.35" customHeight="1">
      <c r="A70" t="s" s="43">
        <v>126</v>
      </c>
      <c r="B70" s="44">
        <v>43009</v>
      </c>
      <c r="C70" t="s" s="17">
        <v>127</v>
      </c>
      <c r="D70" t="s" s="36">
        <v>128</v>
      </c>
      <c r="E70" t="s" s="17">
        <v>26</v>
      </c>
      <c r="F70" s="16"/>
      <c r="G70" s="16"/>
      <c r="H70" s="18">
        <v>200</v>
      </c>
      <c r="I70" s="18">
        <v>1</v>
      </c>
      <c r="J70" s="19"/>
      <c r="K70" s="20">
        <v>600</v>
      </c>
      <c r="L70" s="20">
        <f>K70*0.05</f>
        <v>30</v>
      </c>
      <c r="M70" s="20"/>
    </row>
    <row r="71" ht="20.35" customHeight="1">
      <c r="A71" t="s" s="45">
        <v>129</v>
      </c>
      <c r="B71" s="46">
        <v>43009</v>
      </c>
      <c r="C71" t="s" s="17">
        <v>130</v>
      </c>
      <c r="D71" t="s" s="36">
        <v>128</v>
      </c>
      <c r="E71" t="s" s="17">
        <v>26</v>
      </c>
      <c r="F71" s="16"/>
      <c r="G71" s="16"/>
      <c r="H71" s="18">
        <v>200</v>
      </c>
      <c r="I71" s="18">
        <v>1</v>
      </c>
      <c r="J71" s="28"/>
      <c r="K71" s="20">
        <v>600</v>
      </c>
      <c r="L71" s="20">
        <f>K71*0.05</f>
        <v>30</v>
      </c>
      <c r="M71" s="20"/>
    </row>
    <row r="72" ht="20.35" customHeight="1">
      <c r="A72" t="s" s="45">
        <v>131</v>
      </c>
      <c r="B72" s="46">
        <v>43009</v>
      </c>
      <c r="C72" t="s" s="17">
        <v>132</v>
      </c>
      <c r="D72" t="s" s="36">
        <v>128</v>
      </c>
      <c r="E72" t="s" s="17">
        <v>26</v>
      </c>
      <c r="F72" s="16"/>
      <c r="G72" s="16"/>
      <c r="H72" s="18">
        <v>200</v>
      </c>
      <c r="I72" s="18">
        <v>1</v>
      </c>
      <c r="J72" s="28"/>
      <c r="K72" s="20">
        <v>600</v>
      </c>
      <c r="L72" s="20">
        <f>K72*0.05</f>
        <v>30</v>
      </c>
      <c r="M72" s="20"/>
    </row>
    <row r="73" ht="20.35" customHeight="1">
      <c r="A73" t="s" s="45">
        <v>133</v>
      </c>
      <c r="B73" s="47">
        <v>43009</v>
      </c>
      <c r="C73" t="s" s="17">
        <v>134</v>
      </c>
      <c r="D73" t="s" s="36">
        <v>128</v>
      </c>
      <c r="E73" t="s" s="17">
        <v>26</v>
      </c>
      <c r="F73" s="16"/>
      <c r="G73" s="16"/>
      <c r="H73" s="18">
        <v>200</v>
      </c>
      <c r="I73" s="18">
        <v>1</v>
      </c>
      <c r="J73" s="28"/>
      <c r="K73" s="20">
        <v>600</v>
      </c>
      <c r="L73" s="20">
        <f>K73*0.05</f>
        <v>30</v>
      </c>
      <c r="M73" s="20"/>
    </row>
    <row r="74" ht="20.35" customHeight="1">
      <c r="A74" t="s" s="48">
        <v>135</v>
      </c>
      <c r="B74" s="27">
        <v>43543</v>
      </c>
      <c r="C74" t="s" s="17">
        <v>136</v>
      </c>
      <c r="D74" t="s" s="36">
        <v>128</v>
      </c>
      <c r="E74" s="16"/>
      <c r="F74" s="16"/>
      <c r="G74" s="16"/>
      <c r="H74" s="18">
        <v>200</v>
      </c>
      <c r="I74" s="18">
        <v>1</v>
      </c>
      <c r="J74" s="28"/>
      <c r="K74" s="20">
        <v>600</v>
      </c>
      <c r="L74" s="20">
        <f>K74*0.05</f>
        <v>30</v>
      </c>
      <c r="M74" s="20"/>
    </row>
    <row r="75" ht="20.35" customHeight="1">
      <c r="A75" t="s" s="49">
        <v>137</v>
      </c>
      <c r="B75" s="27">
        <v>43543</v>
      </c>
      <c r="C75" t="s" s="17">
        <v>138</v>
      </c>
      <c r="D75" t="s" s="36">
        <v>128</v>
      </c>
      <c r="E75" s="16"/>
      <c r="F75" s="16"/>
      <c r="G75" s="16"/>
      <c r="H75" s="18">
        <v>200</v>
      </c>
      <c r="I75" s="18">
        <v>1</v>
      </c>
      <c r="J75" s="28"/>
      <c r="K75" s="20">
        <v>600</v>
      </c>
      <c r="L75" s="20">
        <f>K75*0.05</f>
        <v>30</v>
      </c>
      <c r="M75" s="20"/>
    </row>
    <row r="76" ht="20.35" customHeight="1">
      <c r="A76" t="s" s="48">
        <v>139</v>
      </c>
      <c r="B76" s="27">
        <v>43543</v>
      </c>
      <c r="C76" t="s" s="17">
        <v>140</v>
      </c>
      <c r="D76" t="s" s="36">
        <v>128</v>
      </c>
      <c r="E76" s="16"/>
      <c r="F76" s="16"/>
      <c r="G76" s="16"/>
      <c r="H76" s="18">
        <v>200</v>
      </c>
      <c r="I76" s="18">
        <v>1</v>
      </c>
      <c r="J76" s="28"/>
      <c r="K76" s="20">
        <v>600</v>
      </c>
      <c r="L76" s="20">
        <f>K76*0.05</f>
        <v>30</v>
      </c>
      <c r="M76" s="20"/>
    </row>
    <row r="77" ht="20.35" customHeight="1">
      <c r="A77" t="s" s="49">
        <v>141</v>
      </c>
      <c r="B77" s="27">
        <v>43543</v>
      </c>
      <c r="C77" t="s" s="17">
        <v>142</v>
      </c>
      <c r="D77" t="s" s="36">
        <v>128</v>
      </c>
      <c r="E77" s="16"/>
      <c r="F77" s="16"/>
      <c r="G77" s="16"/>
      <c r="H77" s="18">
        <v>200</v>
      </c>
      <c r="I77" s="18">
        <v>1</v>
      </c>
      <c r="J77" s="28"/>
      <c r="K77" s="20">
        <v>600</v>
      </c>
      <c r="L77" s="20">
        <f>K77*0.05</f>
        <v>30</v>
      </c>
      <c r="M77" s="20"/>
    </row>
    <row r="78" ht="20.35" customHeight="1">
      <c r="A78" t="s" s="48">
        <v>143</v>
      </c>
      <c r="B78" s="27">
        <v>44589</v>
      </c>
      <c r="C78" t="s" s="17">
        <v>144</v>
      </c>
      <c r="D78" t="s" s="36">
        <v>145</v>
      </c>
      <c r="E78" s="16"/>
      <c r="F78" s="16"/>
      <c r="G78" s="16"/>
      <c r="H78" s="16"/>
      <c r="I78" s="18">
        <v>1</v>
      </c>
      <c r="J78" s="19"/>
      <c r="K78" s="20">
        <v>500</v>
      </c>
      <c r="L78" s="20">
        <f>K78*0.05</f>
        <v>25</v>
      </c>
      <c r="M78" s="20"/>
    </row>
    <row r="79" ht="20.35" customHeight="1">
      <c r="A79" t="s" s="48">
        <v>146</v>
      </c>
      <c r="B79" s="27">
        <v>44589</v>
      </c>
      <c r="C79" t="s" s="17">
        <v>147</v>
      </c>
      <c r="D79" t="s" s="36">
        <v>145</v>
      </c>
      <c r="E79" s="16"/>
      <c r="F79" s="16"/>
      <c r="G79" s="16"/>
      <c r="H79" s="16"/>
      <c r="I79" s="18">
        <v>1</v>
      </c>
      <c r="J79" s="19"/>
      <c r="K79" s="20">
        <v>500</v>
      </c>
      <c r="L79" s="20">
        <f>K79*0.05</f>
        <v>25</v>
      </c>
      <c r="M79" s="20"/>
    </row>
    <row r="80" ht="20.35" customHeight="1">
      <c r="A80" t="s" s="48">
        <v>148</v>
      </c>
      <c r="B80" s="27">
        <v>44589</v>
      </c>
      <c r="C80" t="s" s="17">
        <v>149</v>
      </c>
      <c r="D80" t="s" s="36">
        <v>145</v>
      </c>
      <c r="E80" s="16"/>
      <c r="F80" s="16"/>
      <c r="G80" s="16"/>
      <c r="H80" s="16"/>
      <c r="I80" s="18">
        <v>1</v>
      </c>
      <c r="J80" s="19"/>
      <c r="K80" s="20">
        <v>500</v>
      </c>
      <c r="L80" s="20">
        <f>K80*0.05</f>
        <v>25</v>
      </c>
      <c r="M80" s="20"/>
    </row>
    <row r="81" ht="20.35" customHeight="1">
      <c r="A81" t="s" s="48">
        <v>150</v>
      </c>
      <c r="B81" s="27">
        <v>44589</v>
      </c>
      <c r="C81" t="s" s="17">
        <v>151</v>
      </c>
      <c r="D81" t="s" s="36">
        <v>145</v>
      </c>
      <c r="E81" s="16"/>
      <c r="F81" s="16"/>
      <c r="G81" s="16"/>
      <c r="H81" s="16"/>
      <c r="I81" s="18">
        <v>1</v>
      </c>
      <c r="J81" s="19"/>
      <c r="K81" s="20">
        <v>500</v>
      </c>
      <c r="L81" s="20">
        <f>K81*0.05</f>
        <v>25</v>
      </c>
      <c r="M81" s="20"/>
    </row>
    <row r="82" ht="20.35" customHeight="1">
      <c r="A82" t="s" s="15">
        <v>152</v>
      </c>
      <c r="B82" s="50"/>
      <c r="C82" s="50"/>
      <c r="D82" s="16"/>
      <c r="E82" s="16"/>
      <c r="F82" s="16"/>
      <c r="G82" s="16"/>
      <c r="H82" s="16"/>
      <c r="I82" s="18">
        <v>1</v>
      </c>
      <c r="J82" s="28"/>
      <c r="K82" s="20">
        <v>300</v>
      </c>
      <c r="L82" s="20">
        <f>K82*0.05</f>
        <v>15</v>
      </c>
      <c r="M82" s="20"/>
    </row>
    <row r="83" ht="20.35" customHeight="1">
      <c r="A83" t="s" s="15">
        <v>152</v>
      </c>
      <c r="B83" s="16"/>
      <c r="C83" s="16"/>
      <c r="D83" s="16"/>
      <c r="E83" s="16"/>
      <c r="F83" s="16"/>
      <c r="G83" s="16"/>
      <c r="H83" s="16"/>
      <c r="I83" s="18">
        <v>1</v>
      </c>
      <c r="J83" s="28"/>
      <c r="K83" s="20">
        <v>300</v>
      </c>
      <c r="L83" s="20">
        <f>K83*0.05</f>
        <v>15</v>
      </c>
      <c r="M83" s="20"/>
    </row>
    <row r="84" ht="20.35" customHeight="1">
      <c r="A84" t="s" s="15">
        <v>152</v>
      </c>
      <c r="B84" s="16"/>
      <c r="C84" s="16"/>
      <c r="D84" s="16"/>
      <c r="E84" s="16"/>
      <c r="F84" s="16"/>
      <c r="G84" s="16"/>
      <c r="H84" s="16"/>
      <c r="I84" s="18">
        <v>1</v>
      </c>
      <c r="J84" s="28"/>
      <c r="K84" s="20">
        <v>300</v>
      </c>
      <c r="L84" s="20">
        <f>K84*0.05</f>
        <v>15</v>
      </c>
      <c r="M84" s="20"/>
    </row>
    <row r="85" ht="20.35" customHeight="1">
      <c r="A85" t="s" s="15">
        <v>152</v>
      </c>
      <c r="B85" s="16"/>
      <c r="C85" s="16"/>
      <c r="D85" s="16"/>
      <c r="E85" s="51"/>
      <c r="F85" s="52"/>
      <c r="G85" s="16"/>
      <c r="H85" s="16"/>
      <c r="I85" s="18">
        <v>1</v>
      </c>
      <c r="J85" s="28"/>
      <c r="K85" s="20">
        <v>300</v>
      </c>
      <c r="L85" s="20">
        <f>K85*0.05</f>
        <v>15</v>
      </c>
      <c r="M85" s="20"/>
    </row>
    <row r="86" ht="20.35" customHeight="1">
      <c r="A86" t="s" s="15">
        <v>152</v>
      </c>
      <c r="B86" s="16"/>
      <c r="C86" s="16"/>
      <c r="D86" s="16"/>
      <c r="E86" s="53"/>
      <c r="F86" s="54"/>
      <c r="G86" s="16"/>
      <c r="H86" s="16"/>
      <c r="I86" s="18">
        <v>1</v>
      </c>
      <c r="J86" s="28"/>
      <c r="K86" s="20">
        <v>300</v>
      </c>
      <c r="L86" s="20">
        <f>K86*0.05</f>
        <v>15</v>
      </c>
      <c r="M86" s="20"/>
    </row>
    <row r="87" ht="20.35" customHeight="1">
      <c r="A87" t="s" s="15">
        <v>152</v>
      </c>
      <c r="B87" s="16"/>
      <c r="C87" s="16"/>
      <c r="D87" s="16"/>
      <c r="E87" s="53"/>
      <c r="F87" s="54"/>
      <c r="G87" s="16"/>
      <c r="H87" s="16"/>
      <c r="I87" s="18">
        <v>1</v>
      </c>
      <c r="J87" s="28"/>
      <c r="K87" s="20">
        <v>300</v>
      </c>
      <c r="L87" s="20">
        <f>K87*0.05</f>
        <v>15</v>
      </c>
      <c r="M87" s="20"/>
    </row>
    <row r="88" ht="20.35" customHeight="1">
      <c r="A88" t="s" s="15">
        <v>152</v>
      </c>
      <c r="B88" s="16"/>
      <c r="C88" s="16"/>
      <c r="D88" s="16"/>
      <c r="E88" s="55"/>
      <c r="F88" s="56"/>
      <c r="G88" s="16"/>
      <c r="H88" s="16"/>
      <c r="I88" s="18">
        <v>1</v>
      </c>
      <c r="J88" s="28"/>
      <c r="K88" s="20">
        <v>300</v>
      </c>
      <c r="L88" s="20">
        <f>K88*0.05</f>
        <v>15</v>
      </c>
      <c r="M88" s="20"/>
    </row>
    <row r="89" ht="20.35" customHeight="1">
      <c r="A89" t="s" s="15">
        <v>152</v>
      </c>
      <c r="B89" s="16"/>
      <c r="C89" s="16"/>
      <c r="D89" s="16"/>
      <c r="E89" s="16"/>
      <c r="F89" s="16"/>
      <c r="G89" s="16"/>
      <c r="H89" s="16"/>
      <c r="I89" s="18">
        <v>1</v>
      </c>
      <c r="J89" s="28"/>
      <c r="K89" s="20">
        <v>300</v>
      </c>
      <c r="L89" s="20">
        <f>K89*0.05</f>
        <v>15</v>
      </c>
      <c r="M89" s="20"/>
    </row>
    <row r="90" ht="20.35" customHeight="1">
      <c r="A90" t="s" s="15">
        <v>153</v>
      </c>
      <c r="B90" s="16"/>
      <c r="C90" s="16"/>
      <c r="D90" s="16"/>
      <c r="E90" s="16"/>
      <c r="F90" s="16"/>
      <c r="G90" s="16"/>
      <c r="H90" s="16"/>
      <c r="I90" s="18">
        <v>1</v>
      </c>
      <c r="J90" s="28"/>
      <c r="K90" s="20">
        <v>300</v>
      </c>
      <c r="L90" s="20">
        <f>K90*0.05</f>
        <v>15</v>
      </c>
      <c r="M90" s="20"/>
    </row>
    <row r="91" ht="20.35" customHeight="1">
      <c r="A91" t="s" s="19">
        <v>153</v>
      </c>
      <c r="B91" s="16"/>
      <c r="C91" s="16"/>
      <c r="D91" s="16"/>
      <c r="E91" s="16"/>
      <c r="F91" s="16"/>
      <c r="G91" s="16"/>
      <c r="H91" s="16"/>
      <c r="I91" s="18">
        <v>1</v>
      </c>
      <c r="J91" s="28"/>
      <c r="K91" s="20">
        <v>300</v>
      </c>
      <c r="L91" s="20">
        <f>K91*0.05</f>
        <v>15</v>
      </c>
      <c r="M91" s="20"/>
    </row>
    <row r="92" ht="20.35" customHeight="1">
      <c r="A92" t="s" s="15">
        <v>154</v>
      </c>
      <c r="B92" s="16"/>
      <c r="C92" s="16"/>
      <c r="D92" s="16"/>
      <c r="E92" t="s" s="17">
        <v>124</v>
      </c>
      <c r="F92" s="16"/>
      <c r="G92" s="16"/>
      <c r="H92" s="16"/>
      <c r="I92" s="18">
        <v>1</v>
      </c>
      <c r="J92" t="s" s="19">
        <v>155</v>
      </c>
      <c r="K92" s="20">
        <v>1500</v>
      </c>
      <c r="L92" s="20">
        <f>K92*0.05</f>
        <v>75</v>
      </c>
      <c r="M92" s="20"/>
    </row>
    <row r="93" ht="20.35" customHeight="1">
      <c r="A93" t="s" s="22">
        <v>154</v>
      </c>
      <c r="B93" s="23"/>
      <c r="C93" s="16"/>
      <c r="D93" s="16"/>
      <c r="E93" t="s" s="17">
        <v>124</v>
      </c>
      <c r="F93" s="16"/>
      <c r="G93" s="16"/>
      <c r="H93" s="16"/>
      <c r="I93" s="18">
        <v>1</v>
      </c>
      <c r="J93" t="s" s="19">
        <v>155</v>
      </c>
      <c r="K93" s="20">
        <v>1500</v>
      </c>
      <c r="L93" s="20">
        <f>K93*0.05</f>
        <v>75</v>
      </c>
      <c r="M93" s="20"/>
    </row>
    <row r="94" ht="20.35" customHeight="1">
      <c r="A94" t="s" s="22">
        <v>154</v>
      </c>
      <c r="B94" s="23"/>
      <c r="C94" s="16"/>
      <c r="D94" s="16"/>
      <c r="E94" s="16"/>
      <c r="F94" s="16"/>
      <c r="G94" s="16"/>
      <c r="H94" s="16"/>
      <c r="I94" s="18">
        <v>1</v>
      </c>
      <c r="J94" t="s" s="19">
        <v>155</v>
      </c>
      <c r="K94" s="20">
        <v>1500</v>
      </c>
      <c r="L94" s="20">
        <f>K94*0.05</f>
        <v>75</v>
      </c>
      <c r="M94" s="20"/>
    </row>
    <row r="95" ht="20.35" customHeight="1">
      <c r="A95" t="s" s="22">
        <v>154</v>
      </c>
      <c r="B95" s="23"/>
      <c r="C95" s="16"/>
      <c r="D95" s="16"/>
      <c r="E95" s="16"/>
      <c r="F95" s="16"/>
      <c r="G95" s="16"/>
      <c r="H95" s="16"/>
      <c r="I95" s="18">
        <v>1</v>
      </c>
      <c r="J95" t="s" s="19">
        <v>155</v>
      </c>
      <c r="K95" s="20">
        <v>1500</v>
      </c>
      <c r="L95" s="20">
        <f>K95*0.05</f>
        <v>75</v>
      </c>
      <c r="M95" s="20"/>
    </row>
    <row r="96" ht="20.35" customHeight="1">
      <c r="A96" t="s" s="15">
        <v>156</v>
      </c>
      <c r="B96" s="16"/>
      <c r="C96" s="16"/>
      <c r="D96" s="16"/>
      <c r="E96" t="s" s="17">
        <v>124</v>
      </c>
      <c r="F96" s="16"/>
      <c r="G96" s="16"/>
      <c r="H96" s="16"/>
      <c r="I96" s="18">
        <v>1</v>
      </c>
      <c r="J96" t="s" s="19">
        <v>157</v>
      </c>
      <c r="K96" s="20">
        <v>1200</v>
      </c>
      <c r="L96" s="20">
        <f>K96*0.05</f>
        <v>60</v>
      </c>
      <c r="M96" s="20"/>
    </row>
    <row r="97" ht="20.35" customHeight="1">
      <c r="A97" t="s" s="15">
        <v>156</v>
      </c>
      <c r="B97" s="16"/>
      <c r="C97" s="16"/>
      <c r="D97" s="16"/>
      <c r="E97" t="s" s="17">
        <v>124</v>
      </c>
      <c r="F97" s="16"/>
      <c r="G97" s="16"/>
      <c r="H97" s="16"/>
      <c r="I97" s="18">
        <v>1</v>
      </c>
      <c r="J97" t="s" s="19">
        <v>157</v>
      </c>
      <c r="K97" s="20">
        <v>1200</v>
      </c>
      <c r="L97" s="20">
        <f>K97*0.05</f>
        <v>60</v>
      </c>
      <c r="M97" s="20"/>
    </row>
    <row r="98" ht="20.35" customHeight="1">
      <c r="A98" t="s" s="15">
        <v>158</v>
      </c>
      <c r="B98" s="16"/>
      <c r="C98" s="16"/>
      <c r="D98" s="16"/>
      <c r="E98" s="16"/>
      <c r="F98" s="16"/>
      <c r="G98" s="16"/>
      <c r="H98" s="16"/>
      <c r="I98" s="18">
        <v>1</v>
      </c>
      <c r="J98" t="s" s="19">
        <v>159</v>
      </c>
      <c r="K98" s="20">
        <v>400</v>
      </c>
      <c r="L98" s="20">
        <f>K98*0.05</f>
        <v>20</v>
      </c>
      <c r="M98" s="20"/>
    </row>
    <row r="99" ht="20.35" customHeight="1">
      <c r="A99" t="s" s="15">
        <v>158</v>
      </c>
      <c r="B99" s="16"/>
      <c r="C99" s="16"/>
      <c r="D99" s="16"/>
      <c r="E99" s="16"/>
      <c r="F99" s="16"/>
      <c r="G99" s="16"/>
      <c r="H99" s="16"/>
      <c r="I99" s="18">
        <v>1</v>
      </c>
      <c r="J99" t="s" s="19">
        <v>159</v>
      </c>
      <c r="K99" s="20">
        <v>400</v>
      </c>
      <c r="L99" s="20">
        <f>K99*0.05</f>
        <v>20</v>
      </c>
      <c r="M99" s="20"/>
    </row>
    <row r="100" ht="20.35" customHeight="1">
      <c r="A100" t="s" s="57">
        <v>160</v>
      </c>
      <c r="B100" s="16"/>
      <c r="C100" s="16"/>
      <c r="D100" s="16"/>
      <c r="E100" s="16"/>
      <c r="F100" s="16"/>
      <c r="G100" s="16"/>
      <c r="H100" s="16"/>
      <c r="I100" s="18">
        <v>1</v>
      </c>
      <c r="J100" t="s" s="19">
        <v>161</v>
      </c>
      <c r="K100" s="20">
        <v>500</v>
      </c>
      <c r="L100" s="20">
        <f>K100*0.05</f>
        <v>25</v>
      </c>
      <c r="M100" s="20"/>
    </row>
    <row r="101" ht="20.35" customHeight="1">
      <c r="A101" t="s" s="57">
        <v>160</v>
      </c>
      <c r="B101" s="16"/>
      <c r="C101" s="16"/>
      <c r="D101" s="16"/>
      <c r="E101" s="16"/>
      <c r="F101" s="16"/>
      <c r="G101" s="16"/>
      <c r="H101" s="16"/>
      <c r="I101" s="18">
        <v>1</v>
      </c>
      <c r="J101" t="s" s="19">
        <v>161</v>
      </c>
      <c r="K101" s="20">
        <v>500</v>
      </c>
      <c r="L101" s="20">
        <f>K101*0.05</f>
        <v>25</v>
      </c>
      <c r="M101" s="20"/>
    </row>
    <row r="102" ht="20.35" customHeight="1">
      <c r="A102" t="s" s="34">
        <v>162</v>
      </c>
      <c r="B102" s="16"/>
      <c r="C102" s="16"/>
      <c r="D102" s="16"/>
      <c r="E102" s="16"/>
      <c r="F102" s="16"/>
      <c r="G102" s="16"/>
      <c r="H102" s="16"/>
      <c r="I102" s="16"/>
      <c r="J102" s="28"/>
      <c r="K102" s="20"/>
      <c r="L102" s="20"/>
      <c r="M102" s="20"/>
    </row>
    <row r="103" ht="17" customHeight="1">
      <c r="A103" t="s" s="15">
        <v>163</v>
      </c>
      <c r="B103" s="16"/>
      <c r="C103" s="16"/>
      <c r="D103" s="16"/>
      <c r="E103" s="16"/>
      <c r="F103" s="16"/>
      <c r="G103" s="16"/>
      <c r="H103" s="16"/>
      <c r="I103" s="18">
        <v>1</v>
      </c>
      <c r="J103" s="28"/>
      <c r="K103" s="20">
        <v>400</v>
      </c>
      <c r="L103" s="20">
        <f>K103*0.05</f>
        <v>20</v>
      </c>
      <c r="M103" s="20"/>
    </row>
    <row r="104" ht="20.35" customHeight="1">
      <c r="A104" t="s" s="15">
        <v>164</v>
      </c>
      <c r="B104" s="16"/>
      <c r="C104" s="16"/>
      <c r="D104" s="16"/>
      <c r="E104" s="16"/>
      <c r="F104" s="16"/>
      <c r="G104" s="16"/>
      <c r="H104" s="16"/>
      <c r="I104" s="18">
        <v>1</v>
      </c>
      <c r="J104" s="19"/>
      <c r="K104" s="20">
        <v>400</v>
      </c>
      <c r="L104" s="20">
        <f>K104*0.05</f>
        <v>20</v>
      </c>
      <c r="M104" s="20"/>
    </row>
    <row r="105" ht="20.35" customHeight="1">
      <c r="A105" t="s" s="15">
        <v>165</v>
      </c>
      <c r="B105" s="16"/>
      <c r="C105" s="16"/>
      <c r="D105" s="16"/>
      <c r="E105" s="16"/>
      <c r="F105" s="16"/>
      <c r="G105" s="16"/>
      <c r="H105" s="16"/>
      <c r="I105" s="18">
        <v>1</v>
      </c>
      <c r="J105" s="19"/>
      <c r="K105" s="20">
        <v>650</v>
      </c>
      <c r="L105" s="20">
        <v>75</v>
      </c>
      <c r="M105" s="20"/>
    </row>
    <row r="106" ht="20.35" customHeight="1">
      <c r="A106" t="s" s="15">
        <v>165</v>
      </c>
      <c r="B106" s="16"/>
      <c r="C106" s="16"/>
      <c r="D106" s="16"/>
      <c r="E106" s="16"/>
      <c r="F106" s="16"/>
      <c r="G106" s="16"/>
      <c r="H106" s="16"/>
      <c r="I106" s="18">
        <v>1</v>
      </c>
      <c r="J106" s="19"/>
      <c r="K106" s="20">
        <v>650</v>
      </c>
      <c r="L106" s="20">
        <v>75</v>
      </c>
      <c r="M106" s="20"/>
    </row>
    <row r="107" ht="20.35" customHeight="1">
      <c r="A107" t="s" s="22">
        <v>165</v>
      </c>
      <c r="B107" s="23"/>
      <c r="C107" s="16"/>
      <c r="D107" s="16"/>
      <c r="E107" s="16"/>
      <c r="F107" s="16"/>
      <c r="G107" s="16"/>
      <c r="H107" s="16"/>
      <c r="I107" s="18">
        <v>1</v>
      </c>
      <c r="J107" s="19"/>
      <c r="K107" s="20">
        <v>650</v>
      </c>
      <c r="L107" s="20">
        <v>75</v>
      </c>
      <c r="M107" s="20"/>
    </row>
    <row r="108" ht="20.35" customHeight="1">
      <c r="A108" t="s" s="15">
        <v>166</v>
      </c>
      <c r="B108" s="16"/>
      <c r="C108" s="16"/>
      <c r="D108" s="16"/>
      <c r="E108" s="16"/>
      <c r="F108" s="16"/>
      <c r="G108" s="16"/>
      <c r="H108" s="16"/>
      <c r="I108" s="16"/>
      <c r="J108" s="28"/>
      <c r="K108" s="20"/>
      <c r="L108" s="20"/>
      <c r="M108" s="20"/>
    </row>
    <row r="109" ht="20.35" customHeight="1">
      <c r="A109" t="s" s="34">
        <v>167</v>
      </c>
      <c r="B109" s="16"/>
      <c r="C109" s="16"/>
      <c r="D109" s="16"/>
      <c r="E109" s="16"/>
      <c r="F109" s="16"/>
      <c r="G109" s="16"/>
      <c r="H109" s="16"/>
      <c r="I109" s="16"/>
      <c r="J109" s="28"/>
      <c r="K109" s="20"/>
      <c r="L109" s="20"/>
      <c r="M109" s="20"/>
    </row>
    <row r="110" ht="20.35" customHeight="1">
      <c r="A110" t="s" s="15">
        <v>168</v>
      </c>
      <c r="B110" s="16"/>
      <c r="C110" s="16"/>
      <c r="D110" s="16"/>
      <c r="E110" s="16"/>
      <c r="F110" s="16"/>
      <c r="G110" s="16"/>
      <c r="H110" s="16"/>
      <c r="I110" s="18">
        <v>1</v>
      </c>
      <c r="J110" t="s" s="19">
        <v>169</v>
      </c>
      <c r="K110" s="20">
        <v>1000</v>
      </c>
      <c r="L110" s="20">
        <f>K110*0.05</f>
        <v>50</v>
      </c>
      <c r="M110" s="20"/>
    </row>
    <row r="111" ht="20.35" customHeight="1">
      <c r="A111" t="s" s="15">
        <v>170</v>
      </c>
      <c r="B111" s="16"/>
      <c r="C111" s="16"/>
      <c r="D111" s="16"/>
      <c r="E111" s="16"/>
      <c r="F111" s="16"/>
      <c r="G111" s="16"/>
      <c r="H111" s="16"/>
      <c r="I111" s="18">
        <v>1</v>
      </c>
      <c r="J111" t="s" s="19">
        <v>171</v>
      </c>
      <c r="K111" s="20">
        <v>3000</v>
      </c>
      <c r="L111" s="20">
        <f>K111*0.05</f>
        <v>150</v>
      </c>
      <c r="M111" s="20"/>
    </row>
    <row r="112" ht="20.35" customHeight="1">
      <c r="A112" t="s" s="15">
        <v>172</v>
      </c>
      <c r="B112" s="16"/>
      <c r="C112" s="16"/>
      <c r="D112" s="16"/>
      <c r="E112" t="s" s="17">
        <v>124</v>
      </c>
      <c r="F112" s="16"/>
      <c r="G112" s="16"/>
      <c r="H112" s="16"/>
      <c r="I112" s="18">
        <v>1</v>
      </c>
      <c r="J112" t="s" s="19">
        <v>173</v>
      </c>
      <c r="K112" s="20">
        <v>1200</v>
      </c>
      <c r="L112" s="20">
        <f>K112*0.05</f>
        <v>60</v>
      </c>
      <c r="M112" s="20"/>
    </row>
    <row r="113" ht="20.35" customHeight="1">
      <c r="A113" t="s" s="22">
        <v>174</v>
      </c>
      <c r="B113" s="58"/>
      <c r="C113" s="59"/>
      <c r="D113" s="52"/>
      <c r="E113" t="s" s="17">
        <v>124</v>
      </c>
      <c r="F113" s="37"/>
      <c r="G113" s="16"/>
      <c r="H113" s="18">
        <v>400</v>
      </c>
      <c r="I113" s="18">
        <v>1</v>
      </c>
      <c r="J113" t="s" s="19">
        <v>175</v>
      </c>
      <c r="K113" s="20">
        <v>1500</v>
      </c>
      <c r="L113" s="20">
        <f>K113*0.05</f>
        <v>75</v>
      </c>
      <c r="M113" s="20"/>
    </row>
    <row r="114" ht="20.35" customHeight="1">
      <c r="A114" t="s" s="22">
        <v>174</v>
      </c>
      <c r="B114" s="60"/>
      <c r="C114" s="61"/>
      <c r="D114" s="61"/>
      <c r="E114" s="62"/>
      <c r="F114" s="56"/>
      <c r="G114" s="16"/>
      <c r="H114" s="18">
        <v>400</v>
      </c>
      <c r="I114" s="18">
        <v>1</v>
      </c>
      <c r="J114" t="s" s="19">
        <v>175</v>
      </c>
      <c r="K114" s="20">
        <v>1500</v>
      </c>
      <c r="L114" s="20">
        <f>K114*0.05</f>
        <v>75</v>
      </c>
      <c r="M114" s="20"/>
    </row>
    <row r="115" ht="20.35" customHeight="1">
      <c r="A115" t="s" s="15">
        <v>176</v>
      </c>
      <c r="B115" s="16"/>
      <c r="C115" s="16"/>
      <c r="D115" s="16"/>
      <c r="E115" t="s" s="17">
        <v>124</v>
      </c>
      <c r="F115" s="16"/>
      <c r="G115" s="16"/>
      <c r="H115" s="16"/>
      <c r="I115" s="18">
        <v>1</v>
      </c>
      <c r="J115" t="s" s="19">
        <v>177</v>
      </c>
      <c r="K115" s="20">
        <v>1250</v>
      </c>
      <c r="L115" s="20">
        <f>K115*0.05</f>
        <v>62.5</v>
      </c>
      <c r="M115" s="20"/>
    </row>
    <row r="116" ht="20.35" customHeight="1">
      <c r="A116" t="s" s="15">
        <v>178</v>
      </c>
      <c r="B116" s="16"/>
      <c r="C116" s="16"/>
      <c r="D116" s="16"/>
      <c r="E116" s="16"/>
      <c r="F116" s="16"/>
      <c r="G116" s="16"/>
      <c r="H116" s="16"/>
      <c r="I116" s="18">
        <v>1</v>
      </c>
      <c r="J116" t="s" s="19">
        <v>179</v>
      </c>
      <c r="K116" s="20">
        <v>1800</v>
      </c>
      <c r="L116" s="20">
        <f>K116*0.05</f>
        <v>90</v>
      </c>
      <c r="M116" s="20"/>
    </row>
    <row r="117" ht="20.35" customHeight="1">
      <c r="A117" t="s" s="15">
        <v>180</v>
      </c>
      <c r="B117" s="16"/>
      <c r="C117" s="16"/>
      <c r="D117" s="16"/>
      <c r="E117" s="16"/>
      <c r="F117" s="16"/>
      <c r="G117" s="16"/>
      <c r="H117" s="16"/>
      <c r="I117" s="18">
        <v>1</v>
      </c>
      <c r="J117" t="s" s="19">
        <v>181</v>
      </c>
      <c r="K117" s="20">
        <v>400</v>
      </c>
      <c r="L117" s="20">
        <f>K117*0.05</f>
        <v>20</v>
      </c>
      <c r="M117" s="20"/>
    </row>
    <row r="118" ht="20.35" customHeight="1">
      <c r="A118" t="s" s="15">
        <v>182</v>
      </c>
      <c r="B118" s="16"/>
      <c r="C118" s="16"/>
      <c r="D118" s="16"/>
      <c r="E118" t="s" s="17">
        <v>26</v>
      </c>
      <c r="F118" s="16"/>
      <c r="G118" s="16"/>
      <c r="H118" s="16"/>
      <c r="I118" s="18">
        <v>1</v>
      </c>
      <c r="J118" t="s" s="19">
        <v>183</v>
      </c>
      <c r="K118" s="20">
        <v>800</v>
      </c>
      <c r="L118" s="20">
        <f>K118*0.05</f>
        <v>40</v>
      </c>
      <c r="M118" s="20"/>
    </row>
    <row r="119" ht="20.35" customHeight="1">
      <c r="A119" t="s" s="15">
        <v>184</v>
      </c>
      <c r="B119" s="16"/>
      <c r="C119" s="16"/>
      <c r="D119" s="16"/>
      <c r="E119" s="16"/>
      <c r="F119" s="16"/>
      <c r="G119" s="16"/>
      <c r="H119" s="16"/>
      <c r="I119" s="18">
        <v>1</v>
      </c>
      <c r="J119" t="s" s="19">
        <v>183</v>
      </c>
      <c r="K119" s="20">
        <v>800</v>
      </c>
      <c r="L119" s="20">
        <f>K119*0.05</f>
        <v>40</v>
      </c>
      <c r="M119" s="20"/>
    </row>
    <row r="120" ht="20.35" customHeight="1">
      <c r="A120" s="15"/>
      <c r="B120" s="16"/>
      <c r="C120" s="16"/>
      <c r="D120" s="16"/>
      <c r="E120" s="16"/>
      <c r="F120" s="16"/>
      <c r="G120" s="16"/>
      <c r="H120" s="16"/>
      <c r="I120" s="16"/>
      <c r="J120" s="28"/>
      <c r="K120" s="20"/>
      <c r="L120" s="20"/>
      <c r="M120" s="20"/>
    </row>
    <row r="121" ht="20.35" customHeight="1">
      <c r="A121" t="s" s="63">
        <v>185</v>
      </c>
      <c r="B121" s="16"/>
      <c r="C121" s="16"/>
      <c r="D121" s="16"/>
      <c r="E121" s="16"/>
      <c r="F121" s="16"/>
      <c r="G121" s="16"/>
      <c r="H121" s="16"/>
      <c r="I121" s="16"/>
      <c r="J121" s="28"/>
      <c r="K121" s="20"/>
      <c r="L121" s="20"/>
      <c r="M121" s="20"/>
    </row>
    <row r="122" ht="20.35" customHeight="1">
      <c r="A122" t="s" s="57">
        <v>186</v>
      </c>
      <c r="B122" s="16"/>
      <c r="C122" s="16"/>
      <c r="D122" s="16"/>
      <c r="E122" t="s" s="17">
        <v>124</v>
      </c>
      <c r="F122" s="16"/>
      <c r="G122" s="16"/>
      <c r="H122" s="16"/>
      <c r="I122" s="18">
        <v>1</v>
      </c>
      <c r="J122" s="19"/>
      <c r="K122" s="20">
        <v>800</v>
      </c>
      <c r="L122" s="20">
        <f>K122*0.05</f>
        <v>40</v>
      </c>
      <c r="M122" s="20"/>
    </row>
    <row r="123" ht="20.35" customHeight="1">
      <c r="A123" t="s" s="57">
        <v>187</v>
      </c>
      <c r="B123" s="16"/>
      <c r="C123" s="16"/>
      <c r="D123" s="16"/>
      <c r="E123" s="16"/>
      <c r="F123" s="16"/>
      <c r="G123" s="16"/>
      <c r="H123" s="16"/>
      <c r="I123" s="18">
        <v>1</v>
      </c>
      <c r="J123" t="s" s="19">
        <v>188</v>
      </c>
      <c r="K123" s="20">
        <v>600</v>
      </c>
      <c r="L123" s="20">
        <f>K123*0.05</f>
        <v>30</v>
      </c>
      <c r="M123" s="20"/>
    </row>
    <row r="124" ht="20.35" customHeight="1">
      <c r="A124" t="s" s="57">
        <v>189</v>
      </c>
      <c r="B124" s="16"/>
      <c r="C124" s="16"/>
      <c r="D124" s="16"/>
      <c r="E124" s="16"/>
      <c r="F124" s="16"/>
      <c r="G124" s="16"/>
      <c r="H124" s="16"/>
      <c r="I124" s="18">
        <v>1</v>
      </c>
      <c r="J124" s="28"/>
      <c r="K124" s="20">
        <v>400</v>
      </c>
      <c r="L124" s="20">
        <f>K124*0.05</f>
        <v>20</v>
      </c>
      <c r="M124" s="20"/>
    </row>
    <row r="125" ht="20.35" customHeight="1">
      <c r="A125" t="s" s="57">
        <v>190</v>
      </c>
      <c r="B125" s="16"/>
      <c r="C125" s="16"/>
      <c r="D125" s="16"/>
      <c r="E125" s="16"/>
      <c r="F125" s="16"/>
      <c r="G125" s="16"/>
      <c r="H125" s="16"/>
      <c r="I125" s="18">
        <v>1</v>
      </c>
      <c r="J125" t="s" s="19">
        <v>188</v>
      </c>
      <c r="K125" s="20">
        <v>600</v>
      </c>
      <c r="L125" s="20">
        <f>K125*0.05</f>
        <v>30</v>
      </c>
      <c r="M125" s="20"/>
    </row>
    <row r="126" ht="20.35" customHeight="1">
      <c r="A126" t="s" s="57">
        <v>191</v>
      </c>
      <c r="B126" s="16"/>
      <c r="C126" s="16"/>
      <c r="D126" s="16"/>
      <c r="E126" s="16"/>
      <c r="F126" s="16"/>
      <c r="G126" s="16"/>
      <c r="H126" s="16"/>
      <c r="I126" s="18">
        <v>1</v>
      </c>
      <c r="J126" s="28"/>
      <c r="K126" s="20">
        <v>500</v>
      </c>
      <c r="L126" s="20">
        <f>K126*0.05</f>
        <v>25</v>
      </c>
      <c r="M126" s="20"/>
    </row>
    <row r="127" ht="20.35" customHeight="1">
      <c r="A127" s="64"/>
      <c r="B127" s="65"/>
      <c r="C127" s="66"/>
      <c r="D127" s="66"/>
      <c r="E127" s="66"/>
      <c r="F127" s="66"/>
      <c r="G127" s="66"/>
      <c r="H127" s="66"/>
      <c r="I127" s="67"/>
      <c r="J127" s="28"/>
      <c r="K127" s="20"/>
      <c r="L127" s="20"/>
      <c r="M127" s="20"/>
    </row>
    <row r="128" ht="20.35" customHeight="1">
      <c r="A128" t="s" s="34">
        <v>192</v>
      </c>
      <c r="B128" s="16"/>
      <c r="C128" s="16"/>
      <c r="D128" s="16"/>
      <c r="E128" s="16"/>
      <c r="F128" s="16"/>
      <c r="G128" s="16"/>
      <c r="H128" s="16"/>
      <c r="I128" s="16"/>
      <c r="J128" s="28"/>
      <c r="K128" s="20"/>
      <c r="L128" s="20"/>
      <c r="M128" s="20"/>
    </row>
    <row r="129" ht="20.35" customHeight="1">
      <c r="A129" t="s" s="68">
        <v>193</v>
      </c>
      <c r="B129" s="16"/>
      <c r="C129" s="16"/>
      <c r="D129" s="16"/>
      <c r="E129" s="16"/>
      <c r="F129" s="16"/>
      <c r="G129" s="16"/>
      <c r="H129" s="16"/>
      <c r="I129" s="18">
        <v>1</v>
      </c>
      <c r="J129" t="s" s="19">
        <v>194</v>
      </c>
      <c r="K129" s="20">
        <v>1575</v>
      </c>
      <c r="L129" s="20">
        <v>100</v>
      </c>
      <c r="M129" s="20"/>
    </row>
    <row r="130" ht="20.35" customHeight="1">
      <c r="A130" t="s" s="69">
        <v>193</v>
      </c>
      <c r="B130" s="16"/>
      <c r="C130" s="16"/>
      <c r="D130" s="16"/>
      <c r="E130" s="16"/>
      <c r="F130" s="16"/>
      <c r="G130" s="16"/>
      <c r="H130" s="16"/>
      <c r="I130" s="18">
        <v>1</v>
      </c>
      <c r="J130" t="s" s="19">
        <v>194</v>
      </c>
      <c r="K130" s="20">
        <v>1575</v>
      </c>
      <c r="L130" s="20">
        <v>100</v>
      </c>
      <c r="M130" s="20"/>
    </row>
    <row r="131" ht="20.35" customHeight="1">
      <c r="A131" t="s" s="69">
        <v>193</v>
      </c>
      <c r="B131" s="16"/>
      <c r="C131" s="16"/>
      <c r="D131" s="16"/>
      <c r="E131" s="16"/>
      <c r="F131" s="16"/>
      <c r="G131" s="16"/>
      <c r="H131" s="16"/>
      <c r="I131" s="18">
        <v>1</v>
      </c>
      <c r="J131" t="s" s="19">
        <v>194</v>
      </c>
      <c r="K131" s="20">
        <v>1575</v>
      </c>
      <c r="L131" s="20">
        <v>100</v>
      </c>
      <c r="M131" s="20"/>
    </row>
    <row r="132" ht="20.35" customHeight="1">
      <c r="A132" t="s" s="70">
        <v>193</v>
      </c>
      <c r="B132" s="16"/>
      <c r="C132" s="16"/>
      <c r="D132" s="16"/>
      <c r="E132" s="16"/>
      <c r="F132" s="16"/>
      <c r="G132" s="16"/>
      <c r="H132" s="16"/>
      <c r="I132" s="18">
        <v>1</v>
      </c>
      <c r="J132" t="s" s="19">
        <v>194</v>
      </c>
      <c r="K132" s="20">
        <v>1575</v>
      </c>
      <c r="L132" s="20">
        <v>100</v>
      </c>
      <c r="M132" s="20"/>
    </row>
    <row r="133" ht="20.35" customHeight="1">
      <c r="A133" t="s" s="15">
        <v>195</v>
      </c>
      <c r="B133" s="16"/>
      <c r="C133" s="16"/>
      <c r="D133" s="16"/>
      <c r="E133" s="16"/>
      <c r="F133" s="16"/>
      <c r="G133" s="16"/>
      <c r="H133" s="16"/>
      <c r="I133" s="18">
        <v>1</v>
      </c>
      <c r="J133" t="s" s="19">
        <v>194</v>
      </c>
      <c r="K133" s="20">
        <v>450</v>
      </c>
      <c r="L133" s="20">
        <v>75</v>
      </c>
      <c r="M133" s="20"/>
    </row>
    <row r="134" ht="20.35" customHeight="1">
      <c r="A134" t="s" s="15">
        <v>195</v>
      </c>
      <c r="B134" s="16"/>
      <c r="C134" s="16"/>
      <c r="D134" s="16"/>
      <c r="E134" s="16"/>
      <c r="F134" s="16"/>
      <c r="G134" s="16"/>
      <c r="H134" s="16"/>
      <c r="I134" s="18">
        <v>1</v>
      </c>
      <c r="J134" t="s" s="19">
        <v>194</v>
      </c>
      <c r="K134" s="20">
        <v>450</v>
      </c>
      <c r="L134" s="20">
        <v>75</v>
      </c>
      <c r="M134" s="20"/>
    </row>
    <row r="135" ht="20.35" customHeight="1">
      <c r="A135" t="s" s="15">
        <v>195</v>
      </c>
      <c r="B135" s="16"/>
      <c r="C135" s="16"/>
      <c r="D135" s="16"/>
      <c r="E135" s="16"/>
      <c r="F135" s="16"/>
      <c r="G135" s="16"/>
      <c r="H135" s="16"/>
      <c r="I135" s="18">
        <v>1</v>
      </c>
      <c r="J135" t="s" s="19">
        <v>194</v>
      </c>
      <c r="K135" s="20">
        <v>450</v>
      </c>
      <c r="L135" s="20">
        <v>75</v>
      </c>
      <c r="M135" s="20"/>
    </row>
    <row r="136" ht="20.35" customHeight="1">
      <c r="A136" t="s" s="15">
        <v>195</v>
      </c>
      <c r="B136" s="16"/>
      <c r="C136" s="16"/>
      <c r="D136" s="16"/>
      <c r="E136" s="16"/>
      <c r="F136" s="16"/>
      <c r="G136" s="16"/>
      <c r="H136" s="16"/>
      <c r="I136" s="18">
        <v>1</v>
      </c>
      <c r="J136" t="s" s="19">
        <v>194</v>
      </c>
      <c r="K136" s="20">
        <v>450</v>
      </c>
      <c r="L136" s="20">
        <v>75</v>
      </c>
      <c r="M136" s="20"/>
    </row>
    <row r="137" ht="20.35" customHeight="1">
      <c r="A137" s="28"/>
      <c r="B137" s="16"/>
      <c r="C137" s="16"/>
      <c r="D137" s="16"/>
      <c r="E137" s="16"/>
      <c r="F137" s="16"/>
      <c r="G137" s="16"/>
      <c r="H137" s="16"/>
      <c r="I137" s="16"/>
      <c r="J137" s="28"/>
      <c r="K137" s="71"/>
      <c r="L137" s="71"/>
      <c r="M137" s="71"/>
    </row>
    <row r="138" ht="20.35" customHeight="1">
      <c r="A138" t="s" s="19">
        <v>196</v>
      </c>
      <c r="B138" s="16"/>
      <c r="C138" s="16"/>
      <c r="D138" s="16"/>
      <c r="E138" s="16"/>
      <c r="F138" t="s" s="17">
        <v>197</v>
      </c>
      <c r="G138" s="16"/>
      <c r="H138" s="18">
        <v>800</v>
      </c>
      <c r="I138" s="16"/>
      <c r="J138" s="28"/>
      <c r="K138" s="71"/>
      <c r="L138" s="71"/>
      <c r="M138" s="71"/>
    </row>
    <row r="139" ht="20.35" customHeight="1">
      <c r="A139" t="s" s="31">
        <v>198</v>
      </c>
      <c r="B139" s="16"/>
      <c r="C139" s="16"/>
      <c r="D139" s="16"/>
      <c r="E139" s="16"/>
      <c r="F139" s="16"/>
      <c r="G139" s="16"/>
      <c r="H139" s="16"/>
      <c r="I139" t="s" s="72">
        <v>199</v>
      </c>
      <c r="J139" t="s" s="31">
        <v>200</v>
      </c>
      <c r="K139" t="s" s="73">
        <v>201</v>
      </c>
      <c r="L139" t="s" s="73">
        <v>202</v>
      </c>
      <c r="M139" s="71"/>
    </row>
    <row r="140" ht="20.35" customHeight="1">
      <c r="A140" t="s" s="19">
        <v>203</v>
      </c>
      <c r="B140" s="16"/>
      <c r="C140" s="16"/>
      <c r="D140" s="16"/>
      <c r="E140" s="16"/>
      <c r="F140" s="27">
        <v>45813</v>
      </c>
      <c r="G140" s="16"/>
      <c r="H140" s="18">
        <v>1200</v>
      </c>
      <c r="I140" s="18">
        <f>K140*L140</f>
        <v>440</v>
      </c>
      <c r="J140" t="s" s="19">
        <v>204</v>
      </c>
      <c r="K140" s="74">
        <v>11</v>
      </c>
      <c r="L140" s="75">
        <v>40</v>
      </c>
      <c r="M140" s="71"/>
    </row>
    <row r="141" ht="20.35" customHeight="1">
      <c r="A141" t="s" s="19">
        <v>205</v>
      </c>
      <c r="B141" s="16"/>
      <c r="C141" s="16"/>
      <c r="D141" s="16"/>
      <c r="E141" s="16"/>
      <c r="F141" s="27">
        <v>45814</v>
      </c>
      <c r="G141" s="16"/>
      <c r="H141" s="18">
        <v>600</v>
      </c>
      <c r="I141" s="76"/>
      <c r="J141" t="s" s="77">
        <v>206</v>
      </c>
      <c r="K141" s="78">
        <v>0</v>
      </c>
      <c r="L141" s="79">
        <v>40</v>
      </c>
      <c r="M141" s="71"/>
    </row>
    <row r="142" ht="20.35" customHeight="1">
      <c r="A142" t="s" s="19">
        <v>207</v>
      </c>
      <c r="B142" s="16"/>
      <c r="C142" s="16"/>
      <c r="D142" s="16"/>
      <c r="E142" s="16"/>
      <c r="F142" s="80">
        <v>45815</v>
      </c>
      <c r="G142" s="16"/>
      <c r="H142" s="18">
        <v>400</v>
      </c>
      <c r="I142" s="18">
        <f>K142*L142</f>
        <v>160</v>
      </c>
      <c r="J142" t="s" s="19">
        <v>208</v>
      </c>
      <c r="K142" s="75">
        <v>4</v>
      </c>
      <c r="L142" s="75">
        <v>40</v>
      </c>
      <c r="M142" s="71"/>
    </row>
    <row r="143" ht="20.35" customHeight="1">
      <c r="A143" t="s" s="19">
        <v>209</v>
      </c>
      <c r="B143" s="16"/>
      <c r="C143" s="16"/>
      <c r="D143" s="16"/>
      <c r="E143" s="16"/>
      <c r="F143" s="80">
        <v>45815</v>
      </c>
      <c r="G143" s="16"/>
      <c r="H143" s="18">
        <v>400</v>
      </c>
      <c r="I143" s="18">
        <f>K143*L143</f>
        <v>360</v>
      </c>
      <c r="J143" t="s" s="19">
        <v>210</v>
      </c>
      <c r="K143" s="75">
        <v>9</v>
      </c>
      <c r="L143" s="75">
        <v>40</v>
      </c>
      <c r="M143" s="71"/>
    </row>
    <row r="144" ht="20.35" customHeight="1">
      <c r="A144" s="28"/>
      <c r="B144" s="16"/>
      <c r="C144" s="16"/>
      <c r="D144" s="16"/>
      <c r="E144" s="16"/>
      <c r="F144" s="16"/>
      <c r="G144" s="16"/>
      <c r="H144" s="16"/>
      <c r="I144" s="16"/>
      <c r="J144" s="28"/>
      <c r="K144" s="71"/>
      <c r="L144" s="71"/>
      <c r="M144" s="71"/>
    </row>
    <row r="145" ht="20.35" customHeight="1">
      <c r="A145" t="s" s="19">
        <v>211</v>
      </c>
      <c r="B145" s="16"/>
      <c r="C145" s="16"/>
      <c r="D145" s="16"/>
      <c r="E145" s="16"/>
      <c r="F145" s="80">
        <v>45822</v>
      </c>
      <c r="G145" s="16"/>
      <c r="H145" s="18">
        <v>400</v>
      </c>
      <c r="I145" s="18">
        <f>K145*L145</f>
        <v>425</v>
      </c>
      <c r="J145" t="s" s="19">
        <v>212</v>
      </c>
      <c r="K145" s="75">
        <v>8.5</v>
      </c>
      <c r="L145" s="75">
        <v>50</v>
      </c>
      <c r="M145" s="71"/>
    </row>
    <row r="146" ht="20.35" customHeight="1">
      <c r="A146" t="s" s="19">
        <v>209</v>
      </c>
      <c r="B146" s="16"/>
      <c r="C146" s="16"/>
      <c r="D146" s="16"/>
      <c r="E146" s="16"/>
      <c r="F146" s="80">
        <v>45823</v>
      </c>
      <c r="G146" s="16"/>
      <c r="H146" s="18">
        <v>400</v>
      </c>
      <c r="I146" s="18">
        <f>K146*L146</f>
        <v>425</v>
      </c>
      <c r="J146" t="s" s="19">
        <v>212</v>
      </c>
      <c r="K146" s="75">
        <v>8.5</v>
      </c>
      <c r="L146" s="75">
        <v>50</v>
      </c>
      <c r="M146" s="71"/>
    </row>
    <row r="147" ht="20.35" customHeight="1">
      <c r="A147" s="28"/>
      <c r="B147" s="16"/>
      <c r="C147" s="16"/>
      <c r="D147" s="16"/>
      <c r="E147" s="16"/>
      <c r="F147" s="16"/>
      <c r="G147" s="16"/>
      <c r="H147" s="16"/>
      <c r="I147" s="16"/>
      <c r="J147" s="28"/>
      <c r="K147" s="71"/>
      <c r="L147" s="71"/>
      <c r="M147" s="71"/>
    </row>
    <row r="148" ht="20.35" customHeight="1">
      <c r="A148" t="s" s="81">
        <v>213</v>
      </c>
      <c r="B148" s="82"/>
      <c r="C148" s="82"/>
      <c r="D148" s="83"/>
      <c r="E148" s="16"/>
      <c r="F148" s="80">
        <v>45827</v>
      </c>
      <c r="G148" s="84"/>
      <c r="H148" s="85">
        <v>400</v>
      </c>
      <c r="I148" s="18">
        <f>K148*L148</f>
        <v>160</v>
      </c>
      <c r="J148" t="s" s="19">
        <v>214</v>
      </c>
      <c r="K148" s="75">
        <v>4</v>
      </c>
      <c r="L148" s="75">
        <v>40</v>
      </c>
      <c r="M148" s="71"/>
    </row>
    <row r="149" ht="20.35" customHeight="1">
      <c r="A149" t="s" s="86">
        <v>215</v>
      </c>
      <c r="B149" s="87"/>
      <c r="C149" s="87"/>
      <c r="D149" s="87"/>
      <c r="E149" s="66"/>
      <c r="F149" s="88">
        <v>45828</v>
      </c>
      <c r="G149" s="87"/>
      <c r="H149" s="89">
        <v>400</v>
      </c>
      <c r="I149" s="18">
        <f>K149*L149</f>
        <v>160</v>
      </c>
      <c r="J149" t="s" s="19">
        <v>216</v>
      </c>
      <c r="K149" s="75">
        <v>4</v>
      </c>
      <c r="L149" s="75">
        <v>40</v>
      </c>
      <c r="M149" s="71"/>
    </row>
    <row r="150" ht="20.35" customHeight="1">
      <c r="A150" t="s" s="19">
        <v>211</v>
      </c>
      <c r="B150" s="16"/>
      <c r="C150" s="16"/>
      <c r="D150" s="16"/>
      <c r="E150" s="16"/>
      <c r="F150" s="80">
        <v>45829</v>
      </c>
      <c r="G150" s="16"/>
      <c r="H150" s="18">
        <v>400</v>
      </c>
      <c r="I150" s="18">
        <f>K150*L150</f>
        <v>160</v>
      </c>
      <c r="J150" t="s" s="19">
        <v>216</v>
      </c>
      <c r="K150" s="75">
        <v>4</v>
      </c>
      <c r="L150" s="75">
        <v>40</v>
      </c>
      <c r="M150" s="71"/>
    </row>
    <row r="151" ht="20.35" customHeight="1">
      <c r="A151" t="s" s="19">
        <v>209</v>
      </c>
      <c r="B151" s="16"/>
      <c r="C151" s="16"/>
      <c r="D151" s="16"/>
      <c r="E151" s="16"/>
      <c r="F151" s="80">
        <v>45830</v>
      </c>
      <c r="G151" s="16"/>
      <c r="H151" s="18">
        <v>400</v>
      </c>
      <c r="I151" s="18">
        <f>K151*L151</f>
        <v>200</v>
      </c>
      <c r="J151" t="s" s="19">
        <v>217</v>
      </c>
      <c r="K151" s="75">
        <v>4</v>
      </c>
      <c r="L151" s="75">
        <v>50</v>
      </c>
      <c r="M151" s="71"/>
    </row>
    <row r="152" ht="20.35" customHeight="1">
      <c r="A152" t="s" s="32">
        <v>218</v>
      </c>
      <c r="B152" s="23"/>
      <c r="C152" s="16"/>
      <c r="D152" s="16"/>
      <c r="E152" s="90"/>
      <c r="F152" t="s" s="91">
        <v>219</v>
      </c>
      <c r="G152" s="16"/>
      <c r="H152" s="18">
        <v>1200</v>
      </c>
      <c r="I152" s="16"/>
      <c r="J152" s="28"/>
      <c r="K152" s="71"/>
      <c r="L152" s="71"/>
      <c r="M152" s="71"/>
    </row>
    <row r="153" ht="20.35" customHeight="1">
      <c r="A153" t="s" s="32">
        <v>220</v>
      </c>
      <c r="B153" s="23"/>
      <c r="C153" s="16"/>
      <c r="D153" s="16"/>
      <c r="E153" s="16"/>
      <c r="F153" s="27">
        <v>45831</v>
      </c>
      <c r="G153" s="16"/>
      <c r="H153" s="18">
        <v>0</v>
      </c>
      <c r="I153" s="18">
        <f>K153*L153</f>
        <v>160</v>
      </c>
      <c r="J153" t="s" s="19">
        <v>221</v>
      </c>
      <c r="K153" s="75">
        <v>4</v>
      </c>
      <c r="L153" s="75">
        <v>40</v>
      </c>
      <c r="M153" s="71"/>
    </row>
    <row r="154" ht="20.35" customHeight="1">
      <c r="A154" s="92"/>
      <c r="B154" s="16"/>
      <c r="C154" s="16"/>
      <c r="D154" s="16"/>
      <c r="E154" s="16"/>
      <c r="F154" s="16"/>
      <c r="G154" s="16"/>
      <c r="H154" s="93">
        <f>SUM(H3:H153)</f>
        <v>9400</v>
      </c>
      <c r="I154" s="16"/>
      <c r="J154" s="28"/>
      <c r="K154" s="71"/>
      <c r="L154" s="71"/>
      <c r="M154" s="71"/>
    </row>
    <row r="155" ht="20.35" customHeight="1">
      <c r="A155" s="28"/>
      <c r="B155" s="16"/>
      <c r="C155" s="16"/>
      <c r="D155" s="16"/>
      <c r="E155" s="16"/>
      <c r="F155" s="16"/>
      <c r="G155" s="16"/>
      <c r="H155" s="16"/>
      <c r="I155" s="16"/>
      <c r="J155" s="28"/>
      <c r="K155" s="71"/>
      <c r="L155" s="71"/>
      <c r="M155" s="71"/>
    </row>
    <row r="156" ht="20.35" customHeight="1">
      <c r="A156" t="s" s="19">
        <v>222</v>
      </c>
      <c r="B156" s="16"/>
      <c r="C156" s="16"/>
      <c r="D156" s="16"/>
      <c r="E156" s="16"/>
      <c r="F156" s="16"/>
      <c r="G156" s="16"/>
      <c r="H156" s="93">
        <v>6000</v>
      </c>
      <c r="I156" s="16"/>
      <c r="J156" s="28"/>
      <c r="K156" s="71"/>
      <c r="L156" s="71"/>
      <c r="M156" s="71"/>
    </row>
    <row r="157" ht="20.35" customHeight="1">
      <c r="A157" s="28"/>
      <c r="B157" s="16"/>
      <c r="C157" s="16"/>
      <c r="D157" s="16"/>
      <c r="E157" s="16"/>
      <c r="F157" s="16"/>
      <c r="G157" s="16"/>
      <c r="H157" s="16"/>
      <c r="I157" s="16"/>
      <c r="J157" s="28"/>
      <c r="K157" s="71"/>
      <c r="L157" s="71"/>
      <c r="M157" s="71"/>
    </row>
    <row r="158" ht="20.35" customHeight="1">
      <c r="A158" t="s" s="31">
        <v>223</v>
      </c>
      <c r="B158" s="16"/>
      <c r="C158" s="16"/>
      <c r="D158" s="16"/>
      <c r="E158" s="16"/>
      <c r="F158" s="16"/>
      <c r="G158" s="16"/>
      <c r="H158" s="94">
        <f>SUM(H154:H157)</f>
        <v>15400</v>
      </c>
      <c r="I158" s="94">
        <f>SUM(I140:I157)</f>
        <v>2650</v>
      </c>
      <c r="J158" s="28"/>
      <c r="K158" s="71"/>
      <c r="L158" s="71"/>
      <c r="M158" s="71"/>
    </row>
    <row r="159" ht="20.35" customHeight="1">
      <c r="A159" t="s" s="31">
        <v>224</v>
      </c>
      <c r="B159" s="16"/>
      <c r="C159" s="16"/>
      <c r="D159" s="16"/>
      <c r="E159" s="16"/>
      <c r="F159" s="16"/>
      <c r="G159" s="16"/>
      <c r="H159" s="94">
        <f>H158-I158</f>
        <v>12750</v>
      </c>
      <c r="I159" s="94"/>
      <c r="J159" s="28"/>
      <c r="K159" s="71"/>
      <c r="L159" s="71"/>
      <c r="M159" s="71"/>
    </row>
    <row r="160" ht="20.35" customHeight="1">
      <c r="A160" s="95"/>
      <c r="B160" s="16"/>
      <c r="C160" s="16"/>
      <c r="D160" s="16"/>
      <c r="E160" s="16"/>
      <c r="F160" s="16"/>
      <c r="G160" s="16"/>
      <c r="H160" s="94"/>
      <c r="I160" s="94"/>
      <c r="J160" s="28"/>
      <c r="K160" s="71"/>
      <c r="L160" s="71"/>
      <c r="M160" s="71"/>
    </row>
    <row r="161" ht="20.35" customHeight="1">
      <c r="A161" s="95"/>
      <c r="B161" s="16"/>
      <c r="C161" s="16"/>
      <c r="D161" s="16"/>
      <c r="E161" s="16"/>
      <c r="F161" s="16"/>
      <c r="G161" s="16"/>
      <c r="H161" s="94"/>
      <c r="I161" s="94"/>
      <c r="J161" s="28"/>
      <c r="K161" s="71"/>
      <c r="L161" s="71"/>
      <c r="M161" s="71"/>
    </row>
    <row r="162" ht="20.35" customHeight="1">
      <c r="A162" t="s" s="31">
        <v>225</v>
      </c>
      <c r="B162" s="16"/>
      <c r="C162" s="16"/>
      <c r="D162" s="16"/>
      <c r="E162" s="16"/>
      <c r="F162" s="16"/>
      <c r="G162" s="16"/>
      <c r="H162" s="94"/>
      <c r="I162" s="94"/>
      <c r="J162" s="28"/>
      <c r="K162" s="71"/>
      <c r="L162" s="71"/>
      <c r="M162" s="71"/>
    </row>
    <row r="163" ht="20.35" customHeight="1">
      <c r="A163" t="s" s="31">
        <v>226</v>
      </c>
      <c r="B163" s="96"/>
      <c r="C163" s="96"/>
      <c r="D163" t="s" s="73">
        <v>227</v>
      </c>
      <c r="E163" s="95"/>
      <c r="F163" t="s" s="31">
        <v>200</v>
      </c>
      <c r="G163" t="s" s="73">
        <v>201</v>
      </c>
      <c r="H163" t="s" s="73">
        <v>202</v>
      </c>
      <c r="I163" s="51"/>
      <c r="J163" s="59"/>
      <c r="K163" s="59"/>
      <c r="L163" s="52"/>
      <c r="M163" s="71"/>
    </row>
    <row r="164" ht="20.35" customHeight="1">
      <c r="A164" t="s" s="19">
        <v>228</v>
      </c>
      <c r="B164" s="20"/>
      <c r="C164" s="20"/>
      <c r="D164" s="20">
        <f>G164*H164</f>
        <v>495</v>
      </c>
      <c r="E164" s="28"/>
      <c r="F164" t="s" s="19">
        <v>229</v>
      </c>
      <c r="G164" s="74">
        <v>11</v>
      </c>
      <c r="H164" s="75">
        <v>45</v>
      </c>
      <c r="I164" s="53"/>
      <c r="J164" s="97"/>
      <c r="K164" s="97"/>
      <c r="L164" s="54"/>
      <c r="M164" s="71"/>
    </row>
    <row r="165" ht="20.35" customHeight="1">
      <c r="A165" t="s" s="19">
        <v>230</v>
      </c>
      <c r="B165" s="20"/>
      <c r="C165" s="20"/>
      <c r="D165" s="20">
        <f>G165*H165</f>
        <v>0</v>
      </c>
      <c r="E165" s="90"/>
      <c r="F165" t="s" s="77">
        <v>206</v>
      </c>
      <c r="G165" s="98">
        <v>0</v>
      </c>
      <c r="H165" s="75">
        <v>45</v>
      </c>
      <c r="I165" s="53"/>
      <c r="J165" s="97"/>
      <c r="K165" s="97"/>
      <c r="L165" s="54"/>
      <c r="M165" s="71"/>
    </row>
    <row r="166" ht="20.35" customHeight="1">
      <c r="A166" t="s" s="19">
        <v>231</v>
      </c>
      <c r="B166" s="20"/>
      <c r="C166" s="20"/>
      <c r="D166" s="20">
        <f>G166*H166</f>
        <v>180</v>
      </c>
      <c r="E166" s="28"/>
      <c r="F166" t="s" s="19">
        <v>232</v>
      </c>
      <c r="G166" s="75">
        <v>4</v>
      </c>
      <c r="H166" s="75">
        <v>45</v>
      </c>
      <c r="I166" s="53"/>
      <c r="J166" s="97"/>
      <c r="K166" s="97"/>
      <c r="L166" s="54"/>
      <c r="M166" s="71"/>
    </row>
    <row r="167" ht="20.35" customHeight="1">
      <c r="A167" t="s" s="19">
        <v>233</v>
      </c>
      <c r="B167" s="20"/>
      <c r="C167" s="20"/>
      <c r="D167" s="20">
        <f>G167*H167</f>
        <v>405</v>
      </c>
      <c r="E167" s="28"/>
      <c r="F167" t="s" s="19">
        <v>234</v>
      </c>
      <c r="G167" s="75">
        <v>9</v>
      </c>
      <c r="H167" s="75">
        <v>45</v>
      </c>
      <c r="I167" s="53"/>
      <c r="J167" s="97"/>
      <c r="K167" s="97"/>
      <c r="L167" s="54"/>
      <c r="M167" s="71"/>
    </row>
    <row r="168" ht="20.35" customHeight="1">
      <c r="A168" t="s" s="99">
        <v>235</v>
      </c>
      <c r="B168" s="100"/>
      <c r="C168" s="100"/>
      <c r="D168" s="100"/>
      <c r="E168" s="59"/>
      <c r="F168" s="59"/>
      <c r="G168" s="59"/>
      <c r="H168" s="62"/>
      <c r="I168" s="97"/>
      <c r="J168" s="97"/>
      <c r="K168" s="97"/>
      <c r="L168" s="54"/>
      <c r="M168" s="71"/>
    </row>
    <row r="169" ht="20.35" customHeight="1">
      <c r="A169" t="s" s="101">
        <v>236</v>
      </c>
      <c r="B169" s="20"/>
      <c r="C169" s="20"/>
      <c r="D169" s="20">
        <f>G169*H169</f>
        <v>270</v>
      </c>
      <c r="E169" s="102"/>
      <c r="F169" t="s" s="103">
        <v>237</v>
      </c>
      <c r="G169" s="104">
        <v>6</v>
      </c>
      <c r="H169" s="75">
        <v>45</v>
      </c>
      <c r="I169" s="53"/>
      <c r="J169" s="97"/>
      <c r="K169" s="97"/>
      <c r="L169" s="54"/>
      <c r="M169" s="71"/>
    </row>
    <row r="170" ht="20.35" customHeight="1">
      <c r="A170" t="s" s="101">
        <v>238</v>
      </c>
      <c r="B170" s="20"/>
      <c r="C170" s="20"/>
      <c r="D170" s="20">
        <f>G170*H170</f>
        <v>360</v>
      </c>
      <c r="E170" s="105"/>
      <c r="F170" t="s" s="106">
        <v>239</v>
      </c>
      <c r="G170" s="98">
        <v>8</v>
      </c>
      <c r="H170" s="75">
        <v>45</v>
      </c>
      <c r="I170" s="53"/>
      <c r="J170" s="97"/>
      <c r="K170" s="97"/>
      <c r="L170" s="54"/>
      <c r="M170" s="71"/>
    </row>
    <row r="171" ht="20.35" customHeight="1">
      <c r="A171" t="s" s="101">
        <v>240</v>
      </c>
      <c r="B171" s="20"/>
      <c r="C171" s="20"/>
      <c r="D171" s="20">
        <f>G171*H171</f>
        <v>180</v>
      </c>
      <c r="E171" s="28"/>
      <c r="F171" t="s" s="19">
        <v>241</v>
      </c>
      <c r="G171" s="75">
        <v>4</v>
      </c>
      <c r="H171" s="75">
        <v>45</v>
      </c>
      <c r="I171" s="53"/>
      <c r="J171" s="97"/>
      <c r="K171" s="97"/>
      <c r="L171" s="54"/>
      <c r="M171" s="71"/>
    </row>
    <row r="172" ht="20.35" customHeight="1">
      <c r="A172" t="s" s="107">
        <v>242</v>
      </c>
      <c r="B172" s="20"/>
      <c r="C172" s="20"/>
      <c r="D172" s="20">
        <f>G172*H172</f>
        <v>180</v>
      </c>
      <c r="E172" s="28"/>
      <c r="F172" t="s" s="19">
        <v>243</v>
      </c>
      <c r="G172" s="75">
        <v>4</v>
      </c>
      <c r="H172" s="75">
        <v>45</v>
      </c>
      <c r="I172" s="53"/>
      <c r="J172" s="97"/>
      <c r="K172" s="97"/>
      <c r="L172" s="54"/>
      <c r="M172" s="71"/>
    </row>
    <row r="173" ht="20.35" customHeight="1">
      <c r="A173" t="s" s="19">
        <v>244</v>
      </c>
      <c r="B173" s="20"/>
      <c r="C173" s="20"/>
      <c r="D173" s="20">
        <f>G173*H173</f>
        <v>180</v>
      </c>
      <c r="E173" s="28"/>
      <c r="F173" t="s" s="19">
        <v>243</v>
      </c>
      <c r="G173" s="75">
        <v>4</v>
      </c>
      <c r="H173" s="75">
        <v>45</v>
      </c>
      <c r="I173" s="53"/>
      <c r="J173" s="97"/>
      <c r="K173" s="97"/>
      <c r="L173" s="54"/>
      <c r="M173" s="71"/>
    </row>
    <row r="174" ht="20.35" customHeight="1">
      <c r="A174" t="s" s="19">
        <v>245</v>
      </c>
      <c r="B174" s="20"/>
      <c r="C174" s="20"/>
      <c r="D174" s="20">
        <f>G174*H174</f>
        <v>0</v>
      </c>
      <c r="E174" s="28"/>
      <c r="F174" t="s" s="19">
        <v>246</v>
      </c>
      <c r="G174" s="75">
        <v>0</v>
      </c>
      <c r="H174" s="75">
        <v>45</v>
      </c>
      <c r="I174" s="53"/>
      <c r="J174" s="97"/>
      <c r="K174" s="97"/>
      <c r="L174" s="54"/>
      <c r="M174" s="71"/>
    </row>
    <row r="175" ht="20.35" customHeight="1">
      <c r="A175" t="s" s="19">
        <v>247</v>
      </c>
      <c r="B175" s="20"/>
      <c r="C175" s="20"/>
      <c r="D175" s="20">
        <f>G175*H175</f>
        <v>180</v>
      </c>
      <c r="E175" s="28"/>
      <c r="F175" t="s" s="19">
        <v>248</v>
      </c>
      <c r="G175" s="75">
        <v>4</v>
      </c>
      <c r="H175" s="75">
        <v>45</v>
      </c>
      <c r="I175" s="53"/>
      <c r="J175" s="97"/>
      <c r="K175" s="97"/>
      <c r="L175" s="54"/>
      <c r="M175" s="71"/>
    </row>
    <row r="176" ht="20.35" customHeight="1">
      <c r="A176" s="108"/>
      <c r="B176" s="109"/>
      <c r="C176" s="109"/>
      <c r="D176" s="109"/>
      <c r="E176" s="59"/>
      <c r="F176" s="59"/>
      <c r="G176" s="110">
        <f>SUM(G164:G175)</f>
        <v>54</v>
      </c>
      <c r="H176" s="59"/>
      <c r="I176" s="97"/>
      <c r="J176" s="61"/>
      <c r="K176" s="61"/>
      <c r="L176" s="56"/>
      <c r="M176" s="71"/>
    </row>
    <row r="177" ht="20.35" customHeight="1">
      <c r="A177" s="111"/>
      <c r="B177" s="112"/>
      <c r="C177" s="113"/>
      <c r="D177" s="113"/>
      <c r="E177" s="61"/>
      <c r="F177" s="61"/>
      <c r="G177" s="61"/>
      <c r="H177" s="61"/>
      <c r="I177" s="54"/>
      <c r="J177" s="28"/>
      <c r="K177" s="71"/>
      <c r="L177" s="71"/>
      <c r="M177" s="71"/>
    </row>
    <row r="178" ht="20.35" customHeight="1">
      <c r="A178" t="s" s="31">
        <v>249</v>
      </c>
      <c r="B178" s="114"/>
      <c r="C178" s="114"/>
      <c r="D178" s="114">
        <f>SUM(D164:D177)</f>
        <v>2430</v>
      </c>
      <c r="E178" s="16"/>
      <c r="F178" s="16"/>
      <c r="G178" s="16"/>
      <c r="H178" s="16"/>
      <c r="I178" s="39"/>
      <c r="J178" s="28"/>
      <c r="K178" s="71"/>
      <c r="L178" s="71"/>
      <c r="M178" s="71"/>
    </row>
    <row r="179" ht="20.35" customHeight="1">
      <c r="A179" s="111"/>
      <c r="B179" s="23"/>
      <c r="C179" s="16"/>
      <c r="D179" s="16"/>
      <c r="E179" s="16"/>
      <c r="F179" s="16"/>
      <c r="G179" s="16"/>
      <c r="H179" s="16"/>
      <c r="I179" s="16"/>
      <c r="J179" s="28"/>
      <c r="K179" s="71"/>
      <c r="L179" s="71"/>
      <c r="M179" s="71"/>
    </row>
    <row r="180" ht="20.35" customHeight="1">
      <c r="A180" s="111"/>
      <c r="B180" s="23"/>
      <c r="C180" s="16"/>
      <c r="D180" s="16"/>
      <c r="E180" s="16"/>
      <c r="F180" s="16"/>
      <c r="G180" s="16"/>
      <c r="H180" s="16"/>
      <c r="I180" s="16"/>
      <c r="J180" s="28"/>
      <c r="K180" s="71"/>
      <c r="L180" s="71"/>
      <c r="M180" s="71"/>
    </row>
    <row r="181" ht="20.35" customHeight="1">
      <c r="A181" t="s" s="115">
        <v>250</v>
      </c>
      <c r="B181" s="23"/>
      <c r="C181" s="16"/>
      <c r="D181" s="16"/>
      <c r="E181" s="16"/>
      <c r="F181" s="16"/>
      <c r="G181" s="16"/>
      <c r="H181" s="16"/>
      <c r="I181" s="16"/>
      <c r="J181" s="28"/>
      <c r="K181" s="71"/>
      <c r="L181" s="71"/>
      <c r="M181" s="71"/>
    </row>
    <row r="182" ht="20.35" customHeight="1">
      <c r="A182" t="s" s="32">
        <v>238</v>
      </c>
      <c r="B182" s="23"/>
      <c r="C182" s="16"/>
      <c r="D182" s="18">
        <f>G182*H182</f>
        <v>400</v>
      </c>
      <c r="E182" s="16"/>
      <c r="F182" t="s" s="17">
        <v>251</v>
      </c>
      <c r="G182" s="18">
        <v>8</v>
      </c>
      <c r="H182" s="18">
        <v>50</v>
      </c>
      <c r="I182" s="16"/>
      <c r="J182" s="28"/>
      <c r="K182" s="71"/>
      <c r="L182" s="71"/>
      <c r="M182" s="71"/>
    </row>
    <row r="183" ht="55.8" customHeight="1">
      <c r="A183" t="s" s="19">
        <v>240</v>
      </c>
      <c r="B183" s="16"/>
      <c r="C183" s="16"/>
      <c r="D183" s="18">
        <f>G183*H183</f>
        <v>900</v>
      </c>
      <c r="E183" s="16"/>
      <c r="F183" t="s" s="17">
        <v>252</v>
      </c>
      <c r="G183" s="18">
        <v>18</v>
      </c>
      <c r="H183" s="18">
        <v>50</v>
      </c>
      <c r="I183" s="16"/>
      <c r="J183" s="28"/>
      <c r="K183" s="71"/>
      <c r="L183" s="71"/>
      <c r="M183" s="71"/>
    </row>
    <row r="184" ht="41.35" customHeight="1">
      <c r="A184" t="s" s="19">
        <v>242</v>
      </c>
      <c r="B184" s="16"/>
      <c r="C184" s="16"/>
      <c r="D184" s="18">
        <f>G184*H184</f>
        <v>700</v>
      </c>
      <c r="E184" s="16"/>
      <c r="F184" t="s" s="17">
        <v>253</v>
      </c>
      <c r="G184" s="18">
        <v>14</v>
      </c>
      <c r="H184" s="18">
        <v>50</v>
      </c>
      <c r="I184" s="16"/>
      <c r="J184" s="28"/>
      <c r="K184" s="71"/>
      <c r="L184" s="71"/>
      <c r="M184" s="71"/>
    </row>
    <row r="185" ht="42" customHeight="1">
      <c r="A185" t="s" s="19">
        <v>244</v>
      </c>
      <c r="B185" s="16"/>
      <c r="C185" s="16"/>
      <c r="D185" s="18">
        <f>G185*H185</f>
        <v>700</v>
      </c>
      <c r="E185" s="16"/>
      <c r="F185" t="s" s="17">
        <v>253</v>
      </c>
      <c r="G185" s="18">
        <v>14</v>
      </c>
      <c r="H185" s="18">
        <v>50</v>
      </c>
      <c r="I185" s="16"/>
      <c r="J185" s="28"/>
      <c r="K185" s="71"/>
      <c r="L185" s="71"/>
      <c r="M185" s="71"/>
    </row>
    <row r="186" ht="38.7" customHeight="1">
      <c r="A186" t="s" s="19">
        <v>245</v>
      </c>
      <c r="B186" s="16"/>
      <c r="C186" s="16"/>
      <c r="D186" s="18">
        <f>G186*H186</f>
        <v>750</v>
      </c>
      <c r="E186" s="16"/>
      <c r="F186" t="s" s="17">
        <v>254</v>
      </c>
      <c r="G186" s="18">
        <v>15</v>
      </c>
      <c r="H186" s="18">
        <v>50</v>
      </c>
      <c r="I186" s="16"/>
      <c r="J186" s="28"/>
      <c r="K186" s="71"/>
      <c r="L186" s="71"/>
      <c r="M186" s="71"/>
    </row>
    <row r="187" ht="20.35" customHeight="1">
      <c r="A187" s="111"/>
      <c r="B187" s="23"/>
      <c r="C187" s="16"/>
      <c r="D187" s="16"/>
      <c r="E187" s="16"/>
      <c r="F187" s="16"/>
      <c r="G187" s="16"/>
      <c r="H187" s="16"/>
      <c r="I187" s="16"/>
      <c r="J187" s="28"/>
      <c r="K187" s="71"/>
      <c r="L187" s="71"/>
      <c r="M187" s="71"/>
    </row>
    <row r="188" ht="20.35" customHeight="1">
      <c r="A188" s="111"/>
      <c r="B188" s="23"/>
      <c r="C188" s="16"/>
      <c r="D188" s="16"/>
      <c r="E188" s="16"/>
      <c r="F188" s="16"/>
      <c r="G188" s="16"/>
      <c r="H188" s="16"/>
      <c r="I188" s="16"/>
      <c r="J188" s="28"/>
      <c r="K188" s="71"/>
      <c r="L188" s="71"/>
      <c r="M188" s="71"/>
    </row>
    <row r="189" ht="20.35" customHeight="1">
      <c r="A189" s="111"/>
      <c r="B189" s="23"/>
      <c r="C189" s="16"/>
      <c r="D189" s="16"/>
      <c r="E189" s="16"/>
      <c r="F189" s="16"/>
      <c r="G189" s="16"/>
      <c r="H189" s="16"/>
      <c r="I189" s="16"/>
      <c r="J189" s="28"/>
      <c r="K189" s="71"/>
      <c r="L189" s="71"/>
      <c r="M189" s="71"/>
    </row>
    <row r="190" ht="20.35" customHeight="1">
      <c r="A190" s="111"/>
      <c r="B190" s="23"/>
      <c r="C190" s="16"/>
      <c r="D190" s="16"/>
      <c r="E190" s="16"/>
      <c r="F190" s="16"/>
      <c r="G190" s="16"/>
      <c r="H190" s="16"/>
      <c r="I190" s="16"/>
      <c r="J190" s="28"/>
      <c r="K190" s="71"/>
      <c r="L190" s="71"/>
      <c r="M190" s="71"/>
    </row>
    <row r="191" ht="20.35" customHeight="1">
      <c r="A191" s="111"/>
      <c r="B191" s="23"/>
      <c r="C191" s="16"/>
      <c r="D191" s="16"/>
      <c r="E191" s="16"/>
      <c r="F191" s="16"/>
      <c r="G191" s="16"/>
      <c r="H191" s="16"/>
      <c r="I191" s="16"/>
      <c r="J191" s="28"/>
      <c r="K191" s="71"/>
      <c r="L191" s="71"/>
      <c r="M191" s="71"/>
    </row>
    <row r="192" ht="20.35" customHeight="1">
      <c r="A192" s="111"/>
      <c r="B192" s="23"/>
      <c r="C192" s="16"/>
      <c r="D192" s="16"/>
      <c r="E192" s="16"/>
      <c r="F192" s="16"/>
      <c r="G192" s="16"/>
      <c r="H192" s="16"/>
      <c r="I192" s="16"/>
      <c r="J192" s="28"/>
      <c r="K192" s="71"/>
      <c r="L192" s="71"/>
      <c r="M192" s="71"/>
    </row>
    <row r="193" ht="20.35" customHeight="1">
      <c r="A193" s="111"/>
      <c r="B193" s="23"/>
      <c r="C193" s="16"/>
      <c r="D193" s="18">
        <f>SUM(D182:D192)</f>
        <v>3450</v>
      </c>
      <c r="E193" s="16"/>
      <c r="F193" s="16"/>
      <c r="G193" s="18">
        <f>SUM(G182:G192)</f>
        <v>69</v>
      </c>
      <c r="H193" s="16"/>
      <c r="I193" s="16"/>
      <c r="J193" s="28"/>
      <c r="K193" s="71"/>
      <c r="L193" s="71"/>
      <c r="M193" s="71"/>
    </row>
    <row r="194" ht="20.35" customHeight="1">
      <c r="A194" s="111"/>
      <c r="B194" s="23"/>
      <c r="C194" s="16"/>
      <c r="D194" s="16"/>
      <c r="E194" s="16"/>
      <c r="F194" s="16"/>
      <c r="G194" s="16"/>
      <c r="H194" s="16"/>
      <c r="I194" s="16"/>
      <c r="J194" s="28"/>
      <c r="K194" s="71"/>
      <c r="L194" s="71"/>
      <c r="M194" s="71"/>
    </row>
    <row r="195" ht="20.35" customHeight="1">
      <c r="A195" s="111"/>
      <c r="B195" s="23"/>
      <c r="C195" s="16"/>
      <c r="D195" s="16"/>
      <c r="E195" s="16"/>
      <c r="F195" s="16"/>
      <c r="G195" s="16"/>
      <c r="H195" s="16"/>
      <c r="I195" s="16"/>
      <c r="J195" s="28"/>
      <c r="K195" s="71"/>
      <c r="L195" s="71"/>
      <c r="M195" s="71"/>
    </row>
    <row r="196" ht="20.35" customHeight="1">
      <c r="A196" s="111"/>
      <c r="B196" s="23"/>
      <c r="C196" s="16"/>
      <c r="D196" s="16"/>
      <c r="E196" s="16"/>
      <c r="F196" s="16"/>
      <c r="G196" s="16"/>
      <c r="H196" s="16"/>
      <c r="I196" s="16"/>
      <c r="J196" s="28"/>
      <c r="K196" s="71"/>
      <c r="L196" s="71"/>
      <c r="M196" s="71"/>
    </row>
    <row r="197" ht="20.35" customHeight="1">
      <c r="A197" s="111"/>
      <c r="B197" s="23"/>
      <c r="C197" s="16"/>
      <c r="D197" s="16"/>
      <c r="E197" s="16"/>
      <c r="F197" s="16"/>
      <c r="G197" s="16"/>
      <c r="H197" s="16"/>
      <c r="I197" s="16"/>
      <c r="J197" s="28"/>
      <c r="K197" s="71"/>
      <c r="L197" s="71"/>
      <c r="M197" s="71"/>
    </row>
    <row r="198" ht="20.35" customHeight="1">
      <c r="A198" s="111"/>
      <c r="B198" s="23"/>
      <c r="C198" s="16"/>
      <c r="D198" s="16"/>
      <c r="E198" s="16"/>
      <c r="F198" s="16"/>
      <c r="G198" s="16"/>
      <c r="H198" s="16"/>
      <c r="I198" s="16"/>
      <c r="J198" s="28"/>
      <c r="K198" s="71"/>
      <c r="L198" s="71"/>
      <c r="M198" s="71"/>
    </row>
  </sheetData>
  <mergeCells count="1">
    <mergeCell ref="A1:K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